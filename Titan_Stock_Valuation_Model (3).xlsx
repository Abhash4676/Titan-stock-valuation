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ashboard" sheetId="1" state="visible" r:id="rId3"/>
    <sheet name="Inputs" sheetId="2" state="visible" r:id="rId4"/>
    <sheet name="Historical Financials" sheetId="3" state="visible" r:id="rId5"/>
    <sheet name="Forecast" sheetId="4" state="visible" r:id="rId6"/>
    <sheet name="DCF Valuation" sheetId="5" state="visible" r:id="rId7"/>
    <sheet name="Comparable Companies" sheetId="6" state="visible" r:id="rId8"/>
    <sheet name="Sensitivity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<sst xmlns="http://schemas.openxmlformats.org/spreadsheetml/2006/main" count="206" uniqueCount="175">
  <si>
    <t xml:space="preserve">TITAN COMPANY LIMITED — STOCK VALUATION DASHBOARD</t>
  </si>
  <si>
    <t xml:space="preserve">DCF + Relative Valuation Summary | Valuation date 27-Jul-2026</t>
  </si>
  <si>
    <t xml:space="preserve">INTRINSIC VALUE / SHARE</t>
  </si>
  <si>
    <t xml:space="preserve">CURRENT SHARE PRICE</t>
  </si>
  <si>
    <t xml:space="preserve">IMPLIED UPSIDE</t>
  </si>
  <si>
    <t xml:space="preserve">WACC</t>
  </si>
  <si>
    <t xml:space="preserve">TV % OF EV</t>
  </si>
  <si>
    <t xml:space="preserve">vs current price (below)</t>
  </si>
  <si>
    <t xml:space="preserve">NSE, 27-Jul-2026</t>
  </si>
  <si>
    <t xml:space="preserve">DCF base case</t>
  </si>
  <si>
    <t xml:space="preserve">CAPM-based</t>
  </si>
  <si>
    <t xml:space="preserve">Gordon growth</t>
  </si>
  <si>
    <t xml:space="preserve">VALUATION FOOTBALL FIELD</t>
  </si>
  <si>
    <t xml:space="preserve">Method</t>
  </si>
  <si>
    <t xml:space="preserve">Low (Rs)</t>
  </si>
  <si>
    <t xml:space="preserve">Value (Rs)</t>
  </si>
  <si>
    <t xml:space="preserve">High (Rs)</t>
  </si>
  <si>
    <t xml:space="preserve">Current Market Price</t>
  </si>
  <si>
    <t xml:space="preserve">DCF - Sensitivity Range</t>
  </si>
  <si>
    <t xml:space="preserve">Comps - P/E Multiple</t>
  </si>
  <si>
    <t xml:space="preserve">Comps - EV/EBITDA Multiple</t>
  </si>
  <si>
    <t xml:space="preserve">Football-field chart (right) plots the Value column for each method against the current market price, with the DCF row also showing its full sensitivity range as error bars via Low/High.</t>
  </si>
  <si>
    <t xml:space="preserve">READING THIS VALUATION</t>
  </si>
  <si>
    <t xml:space="preserve">Titan trades at roughly a 90x trailing P/E (Rs 4,698 price vs ~Rs 52 TTM EPS) - far above both the DCF intrinsic value and the peer-comps range shown below. That gap is not a modelling error: the market is pricing in a multi-decade compounding growth story (India's organised-jewellery penetration is still low, and Titan is the category leader with pricing power, brand trust, and store-network runway) that a 5-year explicit DCF horizon and a 5% terminal growth rate cannot capture. Treat this the way an equity research desk would treat question 'Your DCF says -80%, do you trust it?' - stress-test a much longer explicit high-growth period, a higher terminal growth rate, or a terminal EV/EBITDA exit multiple instead of Gordon Growth, and compare the result to what the current price implies (a reverse-DCF exercise) before drawing any conclusion about over- or under-valuation.</t>
  </si>
  <si>
    <t xml:space="preserve">5-YEAR REVENUE TREND: HISTORICAL + FORECAST</t>
  </si>
  <si>
    <t xml:space="preserve">Year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</si>
  <si>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</si>
  <si>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</si>
  <si>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</si>
  <si>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</si>
  <si>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</si>
  <si>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</si>
  <si>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</si>
  <si>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</si>
  <si>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</si>
  <si>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</si>
  <si>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(Rs Cr)</t>
  </si>
  <si>
    <t xml:space="preserve">All KPI cards and charts are live formulas referencing the Inputs, Historical, Forecast, DCF, Comps, and Sensitivity sheets - change any blue input cell anywhere in the workbook and this dashboard recalculates end to end.</t>
  </si>
  <si>
    <t xml:space="preserve">Charts are embedded directly in this Dashboard sheet (Football Field on the left, Revenue Trend on the right) so they travel with the workbook - no separate chart sheet to lose track of.</t>
  </si>
  <si>
    <t xml:space="preserve">STOCK VALUATION MODEL — INPUTS &amp; ASSUMPTIONS</t>
  </si>
  <si>
    <t xml:space="preserve">Titan Company Limited (NSE: TITAN | BSE: 500114)  |  DCF + Relative Valuation  |  All figures in Rs Crore unless stated</t>
  </si>
  <si>
    <t xml:space="preserve">1. COMPANY SNAPSHOT</t>
  </si>
  <si>
    <t xml:space="preserve">Company Name</t>
  </si>
  <si>
    <t xml:space="preserve">Titan Company Limited</t>
  </si>
  <si>
    <t xml:space="preserve">Ticker</t>
  </si>
  <si>
    <t xml:space="preserve">NSE: TITAN | BSE: 500114</t>
  </si>
  <si>
    <t xml:space="preserve">Sector / Industry</t>
  </si>
  <si>
    <t xml:space="preserve">Consumer Discretionary - Jewellery, Watches &amp; Eyewear</t>
  </si>
  <si>
    <t xml:space="preserve">Valuation Date</t>
  </si>
  <si>
    <t xml:space="preserve">27-Jul-2026</t>
  </si>
  <si>
    <t xml:space="preserve">Reporting Currency</t>
  </si>
  <si>
    <t xml:space="preserve">INR Crore (Rs Cr) - per-share figures in Rs</t>
  </si>
  <si>
    <t xml:space="preserve">Current Share Price (Rs)</t>
  </si>
  <si>
    <t xml:space="preserve">Shares Outstanding (Cr)</t>
  </si>
  <si>
    <t xml:space="preserve">Market Capitalisation (Rs Cr)</t>
  </si>
  <si>
    <t xml:space="preserve">Source: NSE closing price via Google Finance / Kotak Neo, 27-Jul-2026 (Rs 4,698.20; market cap Rs 4,15,218 Cr). Shares outstanding implied from market cap divided by price (Kotak Neo / Business Standard, Jul-2026).</t>
  </si>
  <si>
    <t xml:space="preserve">2. FORECAST DRIVER ASSUMPTIONS (FY26E-FY30E)</t>
  </si>
  <si>
    <t xml:space="preserve">Driver</t>
  </si>
  <si>
    <t xml:space="preserve">Revenue Growth %</t>
  </si>
  <si>
    <t xml:space="preserve">EBIT Margin %</t>
  </si>
  <si>
    <t xml:space="preserve">D&amp;A (% of Revenue)</t>
  </si>
  <si>
    <t xml:space="preserve">Capex (% of Revenue)</t>
  </si>
  <si>
    <t xml:space="preserve">Incr. NWC (% of Delta Revenue)</t>
  </si>
  <si>
    <t xml:space="preserve">Effective Tax Rate %</t>
  </si>
  <si>
    <t xml:space="preserve">One flat rate applied across all forecast years</t>
  </si>
  <si>
    <t xml:space="preserve">Revenue growth tapers from a still-strong 15.0% toward an 11.0% long-run rate as the jewellery/watches franchise matures; EBIT margin normalises modestly toward Titan's historical 11%-11.5% range. NWC is a much larger share of incremental revenue than a services business (20%) because gold jewellery inventory is capital-intensive. These are illustrative forecasting assumptions for this exercise, not company guidance or analyst consensus - flex them and watch the DCF output move.</t>
  </si>
  <si>
    <t xml:space="preserve">3. WACC - COST OF CAPITAL (CAPM)</t>
  </si>
  <si>
    <t xml:space="preserve">Risk-Free Rate (10Y India G-Sec)</t>
  </si>
  <si>
    <t xml:space="preserve">Beta (5Y regression vs NIFTY 50)</t>
  </si>
  <si>
    <t xml:space="preserve">Equity Risk Premium (India)</t>
  </si>
  <si>
    <t xml:space="preserve">Cost of Equity (Ke) = Rf + Beta x ERP</t>
  </si>
  <si>
    <t xml:space="preserve">Pre-tax Cost of Debt (Kd)</t>
  </si>
  <si>
    <t xml:space="preserve">After-tax Cost of Debt = Kd x (1-t)</t>
  </si>
  <si>
    <t xml:space="preserve">Beta of 0.90 reflects Titan's consumer-discretionary, premium-valuation profile - higher than an export-linked IT services business. Kd approximates the cost of gold-metal-loan and lease financing Titan uses to fund jewellery inventory, since the company carries modest net debt (unlike an asset-light IT major).</t>
  </si>
  <si>
    <t xml:space="preserve">4. TERMINAL VALUE ASSUMPTION</t>
  </si>
  <si>
    <t xml:space="preserve">Terminal Growth Rate (g)</t>
  </si>
  <si>
    <t xml:space="preserve">Set at/below long-run nominal India GDP growth, consistent with the Gordon Growth assumption that no firm outgrows the economy forever.</t>
  </si>
  <si>
    <t xml:space="preserve">COLOUR LEGEND</t>
  </si>
  <si>
    <t xml:space="preserve">Blue text</t>
  </si>
  <si>
    <t xml:space="preserve">Hardcoded input - UNLOCKED, safe to edit to flex the model</t>
  </si>
  <si>
    <t xml:space="preserve">Black text</t>
  </si>
  <si>
    <t xml:space="preserve">Formula - LOCKED, protected from accidental edits</t>
  </si>
  <si>
    <t xml:space="preserve">Green text</t>
  </si>
  <si>
    <t xml:space="preserve">Link pulling a value from another sheet - LOCKED</t>
  </si>
  <si>
    <t xml:space="preserve">This workbook is sheet-protected (no password) so formulas can't be broken by accident. Only blue cells are unlocked. In Excel: Review &gt; Unprotect Sheet to make further structural changes.</t>
  </si>
  <si>
    <t xml:space="preserve">HISTORICAL FINANCIALS — FY21-FY25 (Rs Crore, Consolidated)</t>
  </si>
  <si>
    <t xml:space="preserve">Titan Company Limited | Consolidated results</t>
  </si>
  <si>
    <t xml:space="preserve">Rs Crore unless noted</t>
  </si>
  <si>
    <t xml:space="preserve">Revenue</t>
  </si>
  <si>
    <t xml:space="preserve">n.a.</t>
  </si>
  <si>
    <t xml:space="preserve">EBIT Margin % (operating margin)</t>
  </si>
  <si>
    <t xml:space="preserve">EBIT</t>
  </si>
  <si>
    <t xml:space="preserve">Net Income (reported)</t>
  </si>
  <si>
    <t xml:space="preserve">Net Margin %</t>
  </si>
  <si>
    <t xml:space="preserve">D&amp;A</t>
  </si>
  <si>
    <t xml:space="preserve">EBITDA</t>
  </si>
  <si>
    <t xml:space="preserve">Capex</t>
  </si>
  <si>
    <t xml:space="preserve">Increase in NWC</t>
  </si>
  <si>
    <t xml:space="preserve">Total Debt (gold metal loans + leases)</t>
  </si>
  <si>
    <t xml:space="preserve">Cash &amp; Investments</t>
  </si>
  <si>
    <t xml:space="preserve">Net Debt / (Net Cash)</t>
  </si>
  <si>
    <t xml:space="preserve">EPS (Rs)</t>
  </si>
  <si>
    <t xml:space="preserve">DATA SOURCES &amp; NOTES</t>
  </si>
  <si>
    <t xml:space="preserve">Revenue and Net Income for FY21, FY24 and FY25 are Titan's reported consolidated Sales and Net Profit (Business Standard capital-market reports of Titan's board-approved results, and Screener.in consolidated financials, accessed Jul-2026): FY21 Rs 20,088 Cr / Rs 973 Cr; FY24 Rs 46,751 Cr / Rs 3,496 Cr; FY25 Rs 57,143 Cr / Rs 3,337 Cr (FY25 profit dipped versus FY24 due to the customs-duty cut on gold compressing margins, as flagged in Titan's own results commentary).</t>
  </si>
  <si>
    <t xml:space="preserve">FY22 and FY23 Revenue/Net Income are approximated from the company's known post-pandemic recovery trajectory between the confirmed FY21 and FY24 anchors - treat as directional, not exact, and replace with the audited FY22/FY23 Annual Report figures for a production-grade model.</t>
  </si>
  <si>
    <t xml:space="preserve">EBIT Margin (operating margin): FY21 and FY24/FY25 approximate Titan's reported OPM (~12.25% FY21 standalone proxy, 11.32% FY24, 9.96% FY25 per Business Standard capital-market commentary); FY22/FY23 are smoothed/interpolated between these anchors.</t>
  </si>
  <si>
    <t xml:space="preserve">D&amp;A, Capex, Increase in NWC, Total Debt, Cash &amp; Investments: not individually itemised in the summary press releases used for this project - estimated at typical proportions for a jewellery/watches retailer (inventory-heavy NWC, moderate lease and gold-metal-loan debt). Replace with exact cash-flow-statement and balance-sheet figures from the Titan Annual Report for a production-grade model.</t>
  </si>
  <si>
    <t xml:space="preserve">5-YEAR DRIVER-BASED FORECAST — FY26E-FY30E (Rs Crore)</t>
  </si>
  <si>
    <t xml:space="preserve">Titan Company Limited | Revenue and margins driven by Inputs sheet assumptions</t>
  </si>
  <si>
    <t xml:space="preserve">Revenue Growth % (from Inputs)</t>
  </si>
  <si>
    <t xml:space="preserve">EBIT Margin % (from Inputs)</t>
  </si>
  <si>
    <t xml:space="preserve">Tax Rate % (from Inputs)</t>
  </si>
  <si>
    <t xml:space="preserve">NOPAT = EBIT x (1-tax)</t>
  </si>
  <si>
    <t xml:space="preserve">(+) D&amp;A</t>
  </si>
  <si>
    <t xml:space="preserve">(-) Capex</t>
  </si>
  <si>
    <t xml:space="preserve">(-) Increase in NWC</t>
  </si>
  <si>
    <t xml:space="preserve">FREE CASH FLOW TO FIRM (FCFF)</t>
  </si>
  <si>
    <t xml:space="preserve">FCFF = NOPAT + D&amp;A - Capex - Increase in NWC. Every driver traces back to the Inputs sheet, so changing a single blue assumption cell reflows the entire forecast, DCF, and Sensitivity output.</t>
  </si>
  <si>
    <t xml:space="preserve">DCF VALUATION — ENTERPRISE VALUE TO INTRINSIC VALUE PER SHARE</t>
  </si>
  <si>
    <t xml:space="preserve">Titan Company Limited | Discounted Cash Flow (FCFF), WACC via CAPM, Gordon Growth terminal value</t>
  </si>
  <si>
    <t xml:space="preserve">1. WACC BUILD-UP (MARKET-VALUE WEIGHTS)</t>
  </si>
  <si>
    <t xml:space="preserve">Market Value of Equity (Rs Cr)</t>
  </si>
  <si>
    <t xml:space="preserve">Market Value of Debt (Rs Cr, FY25 total debt)</t>
  </si>
  <si>
    <t xml:space="preserve">Weight of Equity We = E/(D+E)</t>
  </si>
  <si>
    <t xml:space="preserve">Weight of Debt Wd = D/(D+E)</t>
  </si>
  <si>
    <t xml:space="preserve">Cost of Equity (Ke)</t>
  </si>
  <si>
    <t xml:space="preserve">After-tax Cost of Debt (Kd)</t>
  </si>
  <si>
    <t xml:space="preserve">WACC = We x Ke + Wd x Kd(1-t)</t>
  </si>
  <si>
    <t xml:space="preserve">Unlike an asset-light IT major, Titan carries meaningful working-capital debt (gold metal loans) to fund jewellery inventory, so its debt weight - while still small next to its market capitalisation - is non-trivial and modestly pulls WACC below the pure cost of equity.</t>
  </si>
  <si>
    <t xml:space="preserve">2. FREE CASH FLOW DISCOUNTING</t>
  </si>
  <si>
    <t xml:space="preserve">Forecast Year n</t>
  </si>
  <si>
    <t xml:space="preserve">FCFF (from Forecast sheet)</t>
  </si>
  <si>
    <t xml:space="preserve">Discount Factor = 1/(1+WACC)^n</t>
  </si>
  <si>
    <t xml:space="preserve">PV of FCFF</t>
  </si>
  <si>
    <t xml:space="preserve">Sum of PV of Explicit FCFF (Yr 1-5)</t>
  </si>
  <si>
    <t xml:space="preserve">3. TERMINAL VALUE (GORDON GROWTH)</t>
  </si>
  <si>
    <t xml:space="preserve">Final-Year FCFF (FY30E)</t>
  </si>
  <si>
    <t xml:space="preserve">Terminal Value = FCFF x (1+g) / (WACC-g)</t>
  </si>
  <si>
    <t xml:space="preserve">Discount Factor (Year 5)</t>
  </si>
  <si>
    <t xml:space="preserve">PV of Terminal Value</t>
  </si>
  <si>
    <t xml:space="preserve">4. ENTERPRISE VALUE TO INTRINSIC VALUE PER SHARE</t>
  </si>
  <si>
    <t xml:space="preserve">Enterprise Value = Sum PV(FCFF) + PV(TV)</t>
  </si>
  <si>
    <t xml:space="preserve">TV as % of Enterprise Value</t>
  </si>
  <si>
    <t xml:space="preserve">(-) Net Debt / (+) Net Cash (FY25)</t>
  </si>
  <si>
    <t xml:space="preserve">Equity Value = EV - Net Debt</t>
  </si>
  <si>
    <t xml:space="preserve">INTRINSIC VALUE PER SHARE (Rs)</t>
  </si>
  <si>
    <t xml:space="preserve">IMPLIED UPSIDE / (DOWNSIDE) %</t>
  </si>
  <si>
    <t xml:space="preserve">Cross-check: TV should typically fall in a 60-80% band of Enterprise Value for a mature, moderate-growth company - if it is far outside that range, revisit the growth/margin taper or the WACC-g spread. For a structural-growth consumer story like Titan, also compare against the 'Reading This Valuation' note on the Dashboard before concluding the stock is mispriced.</t>
  </si>
  <si>
    <t xml:space="preserve">RELATIVE VALUATION — PEER P/E &amp; EV/EBITDA COMPS</t>
  </si>
  <si>
    <t xml:space="preserve">Indian organised-jewellery retail peer set | Trailing multiples, Jul-2026</t>
  </si>
  <si>
    <t xml:space="preserve">Company</t>
  </si>
  <si>
    <t xml:space="preserve">P/E (TTM)</t>
  </si>
  <si>
    <t xml:space="preserve">EV/EBITDA</t>
  </si>
  <si>
    <t xml:space="preserve">Kalyan Jewellers</t>
  </si>
  <si>
    <t xml:space="preserve">Senco Gold</t>
  </si>
  <si>
    <t xml:space="preserve">Thangamayil Jewellery</t>
  </si>
  <si>
    <t xml:space="preserve">PC Jeweller</t>
  </si>
  <si>
    <t xml:space="preserve">Median (peer set)</t>
  </si>
  <si>
    <t xml:space="preserve">P/E and EV/EBITDA are approximate trailing multiples compiled from public market-data sites (TipRanks, MarketScreener, ValueResearch, Upstox) in Jul-2026; treat as illustrative comps rather than a precise, single-day snapshot. Refresh from Screener.in or stockanalysis.com before relying on this for a live decision.</t>
  </si>
  <si>
    <t xml:space="preserve">APPLY TO TITAN COMPANY LIMITED</t>
  </si>
  <si>
    <t xml:space="preserve">FY25 EPS (Rs)</t>
  </si>
  <si>
    <t xml:space="preserve">Implied Value / Share via P/E</t>
  </si>
  <si>
    <t xml:space="preserve">FY25 EBITDA (Rs Cr)</t>
  </si>
  <si>
    <t xml:space="preserve">Implied EV via EV/EBITDA</t>
  </si>
  <si>
    <t xml:space="preserve">Implied Equity Value</t>
  </si>
  <si>
    <t xml:space="preserve">Implied Value / Share via EV/EBITDA</t>
  </si>
  <si>
    <t xml:space="preserve">Average Relative-Valuation Estimate</t>
  </si>
  <si>
    <t xml:space="preserve">Cross-check the DCF against these comps: a DCF far outside the peer-implied range signals an assumption (usually WACC or terminal growth) worth revisiting, not necessarily a mispriced stock.</t>
  </si>
  <si>
    <t xml:space="preserve">TWO-WAY SENSITIVITY — WACC x TERMINAL GROWTH (Rs / Share)</t>
  </si>
  <si>
    <t xml:space="preserve">Titan Company Limited | Intrinsic value per share across a WACC and terminal-growth grid, fully formula-driven</t>
  </si>
  <si>
    <t xml:space="preserve">Base WACC</t>
  </si>
  <si>
    <t xml:space="preserve">Base Terminal Growth (g)</t>
  </si>
  <si>
    <t xml:space="preserve">Value / Share (Rs)</t>
  </si>
  <si>
    <t xml:space="preserve">Rows = WACC (base +/- 1.0%/0.5%); Columns = terminal growth g (base +/- 1.0%/0.5%). Each cell independently recomputes PV(FCFF) + PV(Terminal Value), less net debt, over shares outstanding - so the whole grid updates automatically if any Inputs-sheet assumption changes. The highlighted centre cell reproduces the DCF Valuation sheet's headline intrinsic value per share.</t>
  </si>
  <si>
    <t xml:space="preserve">Row label = WACC (%) | Column header = Terminal growth g (%)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</si>
</sst>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\(#,##0.00\);\-"/>
    <numFmt numFmtId="166" formatCode="0.0%;\(0.0%\);\-"/>
    <numFmt numFmtId="167" formatCode="0.00%;\(0.00%\);\-"/>
    <numFmt numFmtId="168" formatCode="#,##0;\(#,##0\);\-"/>
    <numFmt numFmtId="169" formatCode="#,##0.0"/>
    <numFmt numFmtId="170" formatCode="0.00"/>
    <numFmt numFmtId="171" formatCode="0.0000"/>
    <numFmt numFmtId="172" formatCode="0.0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i val="true"/>
      <sz val="10"/>
      <color rgb="FF595959"/>
      <name val="Calibri"/>
      <family val="2"/>
      <charset val="1"/>
    </font>
    <font>
      <b val="true"/>
      <sz val="8"/>
      <color rgb="FFFFFFFF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i val="true"/>
      <sz val="10"/>
      <color rgb="FF7F7F7F"/>
      <name val="Calibri"/>
      <family val="2"/>
      <charset val="1"/>
    </font>
    <font>
      <sz val="10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i val="true"/>
      <sz val="8"/>
      <color rgb="FF7F7F7F"/>
      <name val="Calibri"/>
      <family val="2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theme="1"/>
      <name val="Calibri"/>
      <family val="2"/>
      <charset val="1"/>
    </font>
    <font>
      <b val="true"/>
      <i val="true"/>
      <sz val="9"/>
      <color rgb="FF7F7F7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theme="0"/>
        <bgColor rgb="FFF9F9F9"/>
      </patternFill>
    </fill>
    <fill>
      <patternFill patternType="solid">
        <fgColor rgb="FF4472C4"/>
        <bgColor rgb="FF4F81BD"/>
      </patternFill>
    </fill>
    <fill>
      <patternFill patternType="solid">
        <fgColor rgb="FFFFF2C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6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false">
      <alignment horizontal="left" vertical="bottom" textRotation="0" wrapText="false" indent="7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2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E4441"/>
      <rgbColor rgb="FFB84845"/>
      <rgbColor rgb="FF008080"/>
      <rgbColor rgb="FFBFBFBF"/>
      <rgbColor rgb="FF7F7F7F"/>
      <rgbColor rgb="FF9999FF"/>
      <rgbColor rgb="FF923937"/>
      <rgbColor rgb="FFFFF2CC"/>
      <rgbColor rgb="FFD9E2F3"/>
      <rgbColor rgb="FF660066"/>
      <rgbColor rgb="FFCB848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D29F9E"/>
      <rgbColor rgb="FFDAB3B3"/>
      <rgbColor rgb="FFE1C6C6"/>
      <rgbColor rgb="FF4472C4"/>
      <rgbColor rgb="FF33CCCC"/>
      <rgbColor rgb="FF99CC00"/>
      <rgbColor rgb="FFFFCC00"/>
      <rgbColor rgb="FFFF9900"/>
      <rgbColor rgb="FFC16361"/>
      <rgbColor rgb="FF595959"/>
      <rgbColor rgb="FF878787"/>
      <rgbColor rgb="FF1F3864"/>
      <rgbColor rgb="FF4F81BD"/>
      <rgbColor rgb="FF003300"/>
      <rgbColor rgb="FF333300"/>
      <rgbColor rgb="FF833331"/>
      <rgbColor rgb="FFA03F3D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Valuation Football Field (Rs /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Value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Dashboard!$B$10:$B$13</c:f>
              <c:strCache>
                <c:ptCount val="4"/>
                <c:pt idx="0">
                  <c:v>Current Market Price</c:v>
                </c:pt>
                <c:pt idx="1">
                  <c:v>DCF - Sensitivity Range</c:v>
                </c:pt>
                <c:pt idx="2">
                  <c:v>Comps - P/E Multiple</c:v>
                </c:pt>
                <c:pt idx="3">
                  <c:v>Comps - EV/EBITDA Multiple</c:v>
                </c:pt>
              </c:strCache>
            </c:strRef>
          </c:cat>
          <c:val>
            <c:numRef>
              <c:f>Dashboard!$D$10:$D$13</c:f>
              <c:numCache>
                <c:formatCode>#,##0.00;\(#,##0.00\);\-</c:formatCode>
                <c:ptCount val="4"/>
                <c:pt idx="0">
                  <c:v>4698.2</c:v>
                </c:pt>
                <c:pt idx="1">
                  <c:v>784.874150265548</c:v>
                </c:pt>
                <c:pt idx="2">
                  <c:v>1072.20405862458</c:v>
                </c:pt>
                <c:pt idx="3">
                  <c:v>1153.58607440812</c:v>
                </c:pt>
              </c:numCache>
            </c:numRef>
          </c:val>
        </c:ser>
        <c:gapWidth val="150"/>
        <c:overlap val="0"/>
        <c:axId val="66911776"/>
        <c:axId val="62845980"/>
      </c:barChart>
      <c:catAx>
        <c:axId val="6691177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Rs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45980"/>
        <c:crosses val="autoZero"/>
        <c:auto val="1"/>
        <c:lblAlgn val="ctr"/>
        <c:lblOffset val="100"/>
        <c:noMultiLvlLbl val="0"/>
      </c:catAx>
      <c:valAx>
        <c:axId val="62845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117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IN" sz="1800" spc="-1" strike="noStrike">
                <a:solidFill>
                  <a:srgbClr val="000000"/>
                </a:solidFill>
                <a:latin typeface="Calibri"/>
              </a:rPr>
              <a:t>Revenue Trend: FY21 Actual -&gt; FY30E Forecast (Rs Cr)</a:t>
            </a:r>
          </a:p>
        </c:rich>
      </c:tx>
      <c:layout>
        <c:manualLayout>
          <c:xMode val="edge"/>
          <c:yMode val="edge"/>
          <c:x val="0.106855430887623"/>
          <c:y val="0.022401723209477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57992128297"/>
          <c:y val="0.241787829833064"/>
          <c:w val="0.676555248781061"/>
          <c:h val="0.552504038772213"/>
        </c:manualLayout>
      </c:layout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833331"/>
            </a:solidFill>
            <a:ln w="47520">
              <a:solidFill>
                <a:srgbClr val="8333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Dashboard!$C$22</c:f>
              <c:numCache>
                <c:formatCode>#,##0;\(#,##0\);\-</c:formatCode>
                <c:ptCount val="1"/>
                <c:pt idx="0">
                  <c:v>20088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923937"/>
            </a:solidFill>
            <a:ln w="47520">
              <a:solidFill>
                <a:srgbClr val="92393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Dashboard!$D$22</c:f>
              <c:numCache>
                <c:formatCode>#,##0;\(#,##0\);\-</c:formatCode>
                <c:ptCount val="1"/>
                <c:pt idx="0">
                  <c:v>27000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a03f3d"/>
            </a:solidFill>
            <a:ln w="47520">
              <a:solidFill>
                <a:srgbClr val="a03f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Dashboard!$E$22</c:f>
              <c:numCache>
                <c:formatCode>#,##0;\(#,##0\);\-</c:formatCode>
                <c:ptCount val="1"/>
                <c:pt idx="0">
                  <c:v>36150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ae4441"/>
            </a:solidFill>
            <a:ln w="47520">
              <a:solidFill>
                <a:srgbClr val="ae44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Dashboard!$F$22</c:f>
              <c:numCache>
                <c:formatCode>#,##0;\(#,##0\);\-</c:formatCode>
                <c:ptCount val="1"/>
                <c:pt idx="0">
                  <c:v>46751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b84845"/>
            </a:solidFill>
            <a:ln w="47520">
              <a:solidFill>
                <a:srgbClr val="b8484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Dashboard!$G$22</c:f>
              <c:numCache>
                <c:formatCode>#,##0;\(#,##0\);\-</c:formatCode>
                <c:ptCount val="1"/>
                <c:pt idx="0">
                  <c:v>57143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16361"/>
            </a:solidFill>
            <a:ln w="47520">
              <a:solidFill>
                <a:srgbClr val="c1636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Dashboard!$H$22</c:f>
              <c:numCache>
                <c:formatCode>#,##0;\(#,##0\);\-</c:formatCode>
                <c:ptCount val="1"/>
                <c:pt idx="0">
                  <c:v>65714.45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cb8483"/>
            </a:solidFill>
            <a:ln w="47520">
              <a:solidFill>
                <a:srgbClr val="cb8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Dashboard!$I$22</c:f>
              <c:numCache>
                <c:formatCode>#,##0;\(#,##0\);\-</c:formatCode>
                <c:ptCount val="1"/>
                <c:pt idx="0">
                  <c:v>74914.473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d29f9e"/>
            </a:solidFill>
            <a:ln w="47520">
              <a:solidFill>
                <a:srgbClr val="d29f9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Dashboard!$J$22</c:f>
              <c:numCache>
                <c:formatCode>#,##0;\(#,##0\);\-</c:formatCode>
                <c:ptCount val="1"/>
                <c:pt idx="0">
                  <c:v>84653.35449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dab3b3"/>
            </a:solidFill>
            <a:ln w="47520">
              <a:solidFill>
                <a:srgbClr val="dab3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Dashboard!$K$22</c:f>
              <c:numCache>
                <c:formatCode>#,##0;\(#,##0\);\-</c:formatCode>
                <c:ptCount val="1"/>
                <c:pt idx="0">
                  <c:v>94811.7570288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e1c6c6"/>
            </a:solidFill>
            <a:ln w="47520">
              <a:solidFill>
                <a:srgbClr val="e1c6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Dashboard!$C$21:$L$21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</c:multiLvlStrCache>
            </c:multiLvlStrRef>
          </c:cat>
          <c:val>
            <c:numRef>
              <c:f>Dashboard!$L$22</c:f>
              <c:numCache>
                <c:formatCode>#,##0;\(#,##0\);\-</c:formatCode>
                <c:ptCount val="1"/>
                <c:pt idx="0">
                  <c:v>105241.050301968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851116"/>
        <c:axId val="33420555"/>
      </c:lineChart>
      <c:catAx>
        <c:axId val="788511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20555"/>
        <c:crosses val="autoZero"/>
        <c:auto val="1"/>
        <c:lblAlgn val="ctr"/>
        <c:lblOffset val="100"/>
        <c:noMultiLvlLbl val="0"/>
      </c:catAx>
      <c:valAx>
        <c:axId val="33420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IN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IN" sz="1000" spc="-1" strike="noStrike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511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0</xdr:rowOff>
    </xdr:from>
    <xdr:to>
      <xdr:col>5</xdr:col>
      <xdr:colOff>1136160</xdr:colOff>
      <xdr:row>42</xdr:row>
      <xdr:rowOff>181080</xdr:rowOff>
    </xdr:to>
    <xdr:graphicFrame>
      <xdr:nvGraphicFramePr>
        <xdr:cNvPr id="0" name="Chart 1"/>
        <xdr:cNvGraphicFramePr/>
      </xdr:nvGraphicFramePr>
      <xdr:xfrm>
        <a:off x="211320" y="6448320"/>
        <a:ext cx="7146720" cy="307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247320</xdr:colOff>
      <xdr:row>26</xdr:row>
      <xdr:rowOff>17640</xdr:rowOff>
    </xdr:from>
    <xdr:to>
      <xdr:col>13</xdr:col>
      <xdr:colOff>31680</xdr:colOff>
      <xdr:row>44</xdr:row>
      <xdr:rowOff>102240</xdr:rowOff>
    </xdr:to>
    <xdr:graphicFrame>
      <xdr:nvGraphicFramePr>
        <xdr:cNvPr id="1" name="Chart 2"/>
        <xdr:cNvGraphicFramePr/>
      </xdr:nvGraphicFramePr>
      <xdr:xfrm>
        <a:off x="8538480" y="6465960"/>
        <a:ext cx="6127920" cy="334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false" showOutlineSymbols="true" defaultGridColor="true" view="normal" topLeftCell="A18" colorId="64" zoomScale="86" zoomScaleNormal="86" zoomScalePageLayoutView="100" workbookViewId="0">
      <selection pane="topLeft" activeCell="G10" activeCellId="0" sqref="G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.27"/>
    <col collapsed="false" customWidth="true" hidden="false" outlineLevel="0" max="6" min="3" style="0" width="20"/>
    <col collapsed="false" customWidth="true" hidden="false" outlineLevel="0" max="7" min="7" style="0" width="9.36"/>
    <col collapsed="false" customWidth="true" hidden="false" outlineLevel="0" max="16" min="8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5.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30" hidden="false" customHeight="true" outlineLevel="0" collapsed="false">
      <c r="B5" s="4" t="n">
        <f aca="false">'DCF Valuation'!C37</f>
        <v>784.874150265548</v>
      </c>
      <c r="C5" s="4" t="n">
        <f aca="false">Inputs!C11</f>
        <v>4698.2</v>
      </c>
      <c r="D5" s="5" t="n">
        <f aca="false">'DCF Valuation'!C39</f>
        <v>-0.832941520100135</v>
      </c>
      <c r="E5" s="6" t="n">
        <f aca="false">'DCF Valuation'!C11</f>
        <v>0.126731372052602</v>
      </c>
      <c r="F5" s="5" t="n">
        <f aca="false">'DCF Valuation'!C33</f>
        <v>0.746993180831429</v>
      </c>
    </row>
    <row r="6" customFormat="false" ht="15" hidden="false" customHeight="true" outlineLevel="0" collapsed="false"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</row>
    <row r="8" customFormat="false" ht="19.5" hidden="false" customHeight="true" outlineLevel="0" collapsed="false">
      <c r="A8" s="8" t="s">
        <v>12</v>
      </c>
      <c r="B8" s="9"/>
      <c r="C8" s="10"/>
      <c r="D8" s="10"/>
      <c r="E8" s="10"/>
      <c r="F8" s="8"/>
    </row>
    <row r="9" customFormat="false" ht="15" hidden="false" customHeight="true" outlineLevel="0" collapsed="false">
      <c r="B9" s="11" t="s">
        <v>13</v>
      </c>
      <c r="C9" s="11" t="s">
        <v>14</v>
      </c>
      <c r="D9" s="11" t="s">
        <v>15</v>
      </c>
      <c r="E9" s="11" t="s">
        <v>16</v>
      </c>
    </row>
    <row r="10" customFormat="false" ht="15" hidden="false" customHeight="true" outlineLevel="0" collapsed="false">
      <c r="B10" s="12" t="s">
        <v>17</v>
      </c>
      <c r="C10" s="13" t="n">
        <f aca="false">Inputs!C11</f>
        <v>4698.2</v>
      </c>
      <c r="D10" s="13" t="n">
        <f aca="false">Inputs!C11</f>
        <v>4698.2</v>
      </c>
      <c r="E10" s="13" t="n">
        <f aca="false">Inputs!C11</f>
        <v>4698.2</v>
      </c>
    </row>
    <row r="11" customFormat="false" ht="15" hidden="false" customHeight="true" outlineLevel="0" collapsed="false">
      <c r="B11" s="12" t="s">
        <v>18</v>
      </c>
      <c r="C11" s="13" t="n">
        <f aca="false">MIN('Sensitivity Analysis'!C8:G12)</f>
        <v>628.554188685335</v>
      </c>
      <c r="D11" s="13" t="n">
        <f aca="false">'DCF Valuation'!C37</f>
        <v>784.874150265548</v>
      </c>
      <c r="E11" s="13" t="n">
        <f aca="false">MAX('Sensitivity Analysis'!C8:G12)</f>
        <v>1050.38398134676</v>
      </c>
    </row>
    <row r="12" customFormat="false" ht="15" hidden="false" customHeight="true" outlineLevel="0" collapsed="false">
      <c r="B12" s="12" t="s">
        <v>19</v>
      </c>
      <c r="C12" s="13" t="n">
        <f aca="false">'Comparable Companies'!C15</f>
        <v>1072.20405862458</v>
      </c>
      <c r="D12" s="13" t="n">
        <f aca="false">'Comparable Companies'!C15</f>
        <v>1072.20405862458</v>
      </c>
      <c r="E12" s="13" t="n">
        <f aca="false">'Comparable Companies'!C15</f>
        <v>1072.20405862458</v>
      </c>
    </row>
    <row r="13" customFormat="false" ht="15" hidden="false" customHeight="true" outlineLevel="0" collapsed="false">
      <c r="B13" s="12" t="s">
        <v>20</v>
      </c>
      <c r="C13" s="13" t="n">
        <f aca="false">'Comparable Companies'!C22</f>
        <v>1153.58607440812</v>
      </c>
      <c r="D13" s="13" t="n">
        <f aca="false">'Comparable Companies'!C22</f>
        <v>1153.58607440812</v>
      </c>
      <c r="E13" s="13" t="n">
        <f aca="false">'Comparable Companies'!C22</f>
        <v>1153.58607440812</v>
      </c>
    </row>
    <row r="15" customFormat="false" ht="30" hidden="false" customHeight="true" outlineLevel="0" collapsed="false">
      <c r="B15" s="14" t="s">
        <v>21</v>
      </c>
      <c r="C15" s="14"/>
      <c r="D15" s="14"/>
      <c r="E15" s="14"/>
    </row>
    <row r="17" customFormat="false" ht="19.5" hidden="false" customHeight="true" outlineLevel="0" collapsed="false">
      <c r="A17" s="15" t="s">
        <v>22</v>
      </c>
      <c r="B17" s="15"/>
      <c r="C17" s="15"/>
      <c r="D17" s="15"/>
      <c r="E17" s="15"/>
      <c r="F17" s="15"/>
    </row>
    <row r="18" customFormat="false" ht="54.75" hidden="false" customHeight="true" outlineLevel="0" collapsed="false">
      <c r="B18" s="14" t="s">
        <v>23</v>
      </c>
      <c r="C18" s="14"/>
      <c r="D18" s="14"/>
      <c r="E18" s="14"/>
      <c r="F18" s="14"/>
      <c r="G18" s="14"/>
      <c r="H18" s="14"/>
    </row>
    <row r="20" customFormat="false" ht="19.5" hidden="false" customHeight="true" outlineLevel="0" collapsed="false">
      <c r="A20" s="15" t="s">
        <v>24</v>
      </c>
      <c r="B20" s="15"/>
      <c r="C20" s="15"/>
      <c r="D20" s="15"/>
      <c r="E20" s="15"/>
      <c r="F20" s="15"/>
    </row>
    <row r="21" customFormat="false" ht="15" hidden="false" customHeight="true" outlineLevel="0" collapsed="false">
      <c r="B21" s="16" t="s">
        <v>25</v>
      </c>
      <c r="C21" s="16" t="s">
        <v>26</v>
      </c>
      <c r="D21" s="16" t="s">
        <v>27</v>
      </c>
      <c r="E21" s="16" t="s">
        <v>28</v>
      </c>
      <c r="F21" s="16" t="s">
        <v>29</v>
      </c>
      <c r="G21" s="16" t="s">
        <v>30</v>
      </c>
      <c r="H21" s="16" t="s">
        <v>31</v>
      </c>
      <c r="I21" s="16" t="s">
        <v>32</v>
      </c>
      <c r="J21" s="16" t="s">
        <v>33</v>
      </c>
      <c r="K21" s="16" t="s">
        <v>34</v>
      </c>
      <c r="L21" s="16" t="s">
        <v>35</v>
      </c>
    </row>
    <row r="22" customFormat="false" ht="15" hidden="false" customHeight="true" outlineLevel="0" collapsed="false">
      <c r="B22" s="17" t="s">
        <v>36</v>
      </c>
      <c r="C22" s="18" t="n">
        <f aca="false">'Historical Financials'!C5</f>
        <v>20088</v>
      </c>
      <c r="D22" s="18" t="n">
        <f aca="false">'Historical Financials'!D5</f>
        <v>27000</v>
      </c>
      <c r="E22" s="18" t="n">
        <f aca="false">'Historical Financials'!E5</f>
        <v>36150</v>
      </c>
      <c r="F22" s="18" t="n">
        <f aca="false">'Historical Financials'!F5</f>
        <v>46751</v>
      </c>
      <c r="G22" s="18" t="n">
        <f aca="false">'Historical Financials'!G5</f>
        <v>57143</v>
      </c>
      <c r="H22" s="18" t="n">
        <f aca="false">Forecast!C6</f>
        <v>65714.45</v>
      </c>
      <c r="I22" s="18" t="n">
        <f aca="false">Forecast!D6</f>
        <v>74914.473</v>
      </c>
      <c r="J22" s="18" t="n">
        <f aca="false">Forecast!E6</f>
        <v>84653.35449</v>
      </c>
      <c r="K22" s="18" t="n">
        <f aca="false">Forecast!F6</f>
        <v>94811.7570288</v>
      </c>
      <c r="L22" s="18" t="n">
        <f aca="false">Forecast!G6</f>
        <v>105241.050301968</v>
      </c>
    </row>
    <row r="24" customFormat="false" ht="30" hidden="false" customHeight="true" outlineLevel="0" collapsed="false">
      <c r="B24" s="14" t="s">
        <v>37</v>
      </c>
      <c r="C24" s="14"/>
      <c r="D24" s="14"/>
      <c r="E24" s="14"/>
      <c r="F24" s="14"/>
      <c r="G24" s="14"/>
      <c r="H24" s="14"/>
    </row>
    <row r="46" customFormat="false" ht="15" hidden="false" customHeight="true" outlineLevel="0" collapsed="false">
      <c r="B46" s="19" t="s">
        <v>38</v>
      </c>
      <c r="C46" s="19"/>
      <c r="D46" s="19"/>
      <c r="E46" s="19"/>
      <c r="F46" s="19"/>
      <c r="G46" s="19"/>
      <c r="H46" s="19"/>
    </row>
  </sheetData>
  <mergeCells count="8">
    <mergeCell ref="A1:F1"/>
    <mergeCell ref="A2:F2"/>
    <mergeCell ref="B15:E15"/>
    <mergeCell ref="A17:F17"/>
    <mergeCell ref="B18:H18"/>
    <mergeCell ref="A20:F20"/>
    <mergeCell ref="B24:H24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41" colorId="64" zoomScale="100" zoomScaleNormal="100" zoomScalePageLayoutView="100" workbookViewId="0">
      <selection pane="topLeft" activeCell="A4" activeCellId="0" sqref="A4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8" min="3" style="0" width="14"/>
  </cols>
  <sheetData>
    <row r="1" customFormat="false" ht="30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0" t="s">
        <v>40</v>
      </c>
      <c r="B2" s="20"/>
      <c r="C2" s="20"/>
      <c r="D2" s="20"/>
      <c r="E2" s="20"/>
      <c r="F2" s="20"/>
      <c r="G2" s="20"/>
      <c r="H2" s="20"/>
    </row>
    <row r="4" customFormat="false" ht="19.5" hidden="false" customHeight="true" outlineLevel="0" collapsed="false">
      <c r="A4" s="15" t="s">
        <v>41</v>
      </c>
      <c r="B4" s="15"/>
      <c r="C4" s="15"/>
      <c r="D4" s="15"/>
      <c r="E4" s="15"/>
      <c r="F4" s="15"/>
      <c r="G4" s="15"/>
      <c r="H4" s="15"/>
    </row>
    <row r="6" customFormat="false" ht="15" hidden="false" customHeight="true" outlineLevel="0" collapsed="false">
      <c r="B6" s="21" t="s">
        <v>42</v>
      </c>
      <c r="C6" s="22" t="s">
        <v>43</v>
      </c>
      <c r="D6" s="22"/>
      <c r="E6" s="22"/>
    </row>
    <row r="7" customFormat="false" ht="15" hidden="false" customHeight="true" outlineLevel="0" collapsed="false">
      <c r="B7" s="21" t="s">
        <v>44</v>
      </c>
      <c r="C7" s="22" t="s">
        <v>45</v>
      </c>
      <c r="D7" s="22"/>
      <c r="E7" s="22"/>
    </row>
    <row r="8" customFormat="false" ht="15" hidden="false" customHeight="true" outlineLevel="0" collapsed="false">
      <c r="B8" s="21" t="s">
        <v>46</v>
      </c>
      <c r="C8" s="22" t="s">
        <v>47</v>
      </c>
      <c r="D8" s="22"/>
      <c r="E8" s="22"/>
    </row>
    <row r="9" customFormat="false" ht="15" hidden="false" customHeight="true" outlineLevel="0" collapsed="false">
      <c r="B9" s="21" t="s">
        <v>48</v>
      </c>
      <c r="C9" s="22" t="s">
        <v>49</v>
      </c>
      <c r="D9" s="22"/>
      <c r="E9" s="22"/>
    </row>
    <row r="10" customFormat="false" ht="15" hidden="false" customHeight="true" outlineLevel="0" collapsed="false">
      <c r="B10" s="21" t="s">
        <v>50</v>
      </c>
      <c r="C10" s="22" t="s">
        <v>51</v>
      </c>
      <c r="D10" s="22"/>
      <c r="E10" s="22"/>
    </row>
    <row r="11" customFormat="false" ht="15" hidden="false" customHeight="true" outlineLevel="0" collapsed="false">
      <c r="B11" s="23" t="s">
        <v>52</v>
      </c>
      <c r="C11" s="24" t="n">
        <v>4698.2</v>
      </c>
    </row>
    <row r="12" customFormat="false" ht="15" hidden="false" customHeight="true" outlineLevel="0" collapsed="false">
      <c r="B12" s="23" t="s">
        <v>53</v>
      </c>
      <c r="C12" s="25" t="n">
        <v>88.7</v>
      </c>
    </row>
    <row r="13" customFormat="false" ht="15" hidden="false" customHeight="true" outlineLevel="0" collapsed="false">
      <c r="B13" s="23" t="s">
        <v>54</v>
      </c>
      <c r="C13" s="26" t="n">
        <f aca="false">C11*C12</f>
        <v>416730.34</v>
      </c>
    </row>
    <row r="15" customFormat="false" ht="30.75" hidden="false" customHeight="true" outlineLevel="0" collapsed="false">
      <c r="B15" s="14" t="s">
        <v>55</v>
      </c>
      <c r="C15" s="14"/>
      <c r="D15" s="14"/>
      <c r="E15" s="14"/>
      <c r="F15" s="14"/>
      <c r="G15" s="14"/>
      <c r="H15" s="14"/>
    </row>
    <row r="17" customFormat="false" ht="19.5" hidden="false" customHeight="true" outlineLevel="0" collapsed="false">
      <c r="A17" s="15" t="s">
        <v>56</v>
      </c>
      <c r="B17" s="15"/>
      <c r="C17" s="15"/>
      <c r="D17" s="15"/>
      <c r="E17" s="15"/>
      <c r="F17" s="15"/>
      <c r="G17" s="15"/>
      <c r="H17" s="15"/>
    </row>
    <row r="18" customFormat="false" ht="15" hidden="false" customHeight="true" outlineLevel="0" collapsed="false">
      <c r="B18" s="11" t="s">
        <v>57</v>
      </c>
      <c r="C18" s="11" t="s">
        <v>31</v>
      </c>
      <c r="D18" s="11" t="s">
        <v>32</v>
      </c>
      <c r="E18" s="11" t="s">
        <v>33</v>
      </c>
      <c r="F18" s="11" t="s">
        <v>34</v>
      </c>
      <c r="G18" s="11" t="s">
        <v>35</v>
      </c>
    </row>
    <row r="19" customFormat="false" ht="15" hidden="false" customHeight="true" outlineLevel="0" collapsed="false">
      <c r="B19" s="21" t="s">
        <v>58</v>
      </c>
      <c r="C19" s="27" t="n">
        <v>0.15</v>
      </c>
      <c r="D19" s="27" t="n">
        <v>0.14</v>
      </c>
      <c r="E19" s="27" t="n">
        <v>0.13</v>
      </c>
      <c r="F19" s="27" t="n">
        <v>0.12</v>
      </c>
      <c r="G19" s="27" t="n">
        <v>0.11</v>
      </c>
    </row>
    <row r="20" customFormat="false" ht="15" hidden="false" customHeight="true" outlineLevel="0" collapsed="false">
      <c r="B20" s="21" t="s">
        <v>59</v>
      </c>
      <c r="C20" s="27" t="n">
        <v>0.105</v>
      </c>
      <c r="D20" s="27" t="n">
        <v>0.108</v>
      </c>
      <c r="E20" s="27" t="n">
        <v>0.11</v>
      </c>
      <c r="F20" s="27" t="n">
        <v>0.112</v>
      </c>
      <c r="G20" s="27" t="n">
        <v>0.113</v>
      </c>
    </row>
    <row r="21" customFormat="false" ht="15" hidden="false" customHeight="true" outlineLevel="0" collapsed="false">
      <c r="B21" s="21" t="s">
        <v>60</v>
      </c>
      <c r="C21" s="27" t="n">
        <v>0.015</v>
      </c>
      <c r="D21" s="27" t="n">
        <v>0.015</v>
      </c>
      <c r="E21" s="27" t="n">
        <v>0.015</v>
      </c>
      <c r="F21" s="27" t="n">
        <v>0.015</v>
      </c>
      <c r="G21" s="27" t="n">
        <v>0.015</v>
      </c>
    </row>
    <row r="22" customFormat="false" ht="15" hidden="false" customHeight="true" outlineLevel="0" collapsed="false">
      <c r="B22" s="21" t="s">
        <v>61</v>
      </c>
      <c r="C22" s="27" t="n">
        <v>0.012</v>
      </c>
      <c r="D22" s="27" t="n">
        <v>0.012</v>
      </c>
      <c r="E22" s="27" t="n">
        <v>0.012</v>
      </c>
      <c r="F22" s="27" t="n">
        <v>0.012</v>
      </c>
      <c r="G22" s="27" t="n">
        <v>0.012</v>
      </c>
    </row>
    <row r="23" customFormat="false" ht="15" hidden="false" customHeight="true" outlineLevel="0" collapsed="false">
      <c r="B23" s="21" t="s">
        <v>62</v>
      </c>
      <c r="C23" s="27" t="n">
        <v>0.2</v>
      </c>
      <c r="D23" s="27" t="n">
        <v>0.2</v>
      </c>
      <c r="E23" s="27" t="n">
        <v>0.2</v>
      </c>
      <c r="F23" s="27" t="n">
        <v>0.2</v>
      </c>
      <c r="G23" s="27" t="n">
        <v>0.2</v>
      </c>
    </row>
    <row r="24" customFormat="false" ht="30" hidden="false" customHeight="true" outlineLevel="0" collapsed="false">
      <c r="B24" s="23" t="s">
        <v>63</v>
      </c>
      <c r="C24" s="27" t="n">
        <v>0.25</v>
      </c>
      <c r="H24" s="28" t="s">
        <v>64</v>
      </c>
    </row>
    <row r="26" customFormat="false" ht="57.75" hidden="false" customHeight="true" outlineLevel="0" collapsed="false">
      <c r="B26" s="14" t="s">
        <v>65</v>
      </c>
      <c r="C26" s="14"/>
      <c r="D26" s="14"/>
      <c r="E26" s="14"/>
      <c r="F26" s="14"/>
      <c r="G26" s="14"/>
      <c r="H26" s="14"/>
    </row>
    <row r="28" customFormat="false" ht="19.5" hidden="false" customHeight="true" outlineLevel="0" collapsed="false">
      <c r="A28" s="15" t="s">
        <v>66</v>
      </c>
      <c r="B28" s="15"/>
      <c r="C28" s="15"/>
      <c r="D28" s="15"/>
      <c r="E28" s="15"/>
      <c r="F28" s="15"/>
      <c r="G28" s="15"/>
      <c r="H28" s="15"/>
    </row>
    <row r="29" customFormat="false" ht="15" hidden="false" customHeight="true" outlineLevel="0" collapsed="false">
      <c r="B29" s="23" t="s">
        <v>67</v>
      </c>
      <c r="C29" s="27" t="n">
        <v>0.069</v>
      </c>
    </row>
    <row r="30" customFormat="false" ht="15" hidden="false" customHeight="true" outlineLevel="0" collapsed="false">
      <c r="B30" s="23" t="s">
        <v>68</v>
      </c>
      <c r="C30" s="29" t="n">
        <v>0.9</v>
      </c>
    </row>
    <row r="31" customFormat="false" ht="15" hidden="false" customHeight="true" outlineLevel="0" collapsed="false">
      <c r="B31" s="23" t="s">
        <v>69</v>
      </c>
      <c r="C31" s="27" t="n">
        <v>0.065</v>
      </c>
    </row>
    <row r="32" customFormat="false" ht="15" hidden="false" customHeight="true" outlineLevel="0" collapsed="false">
      <c r="B32" s="23" t="s">
        <v>70</v>
      </c>
      <c r="C32" s="30" t="n">
        <f aca="false">C29+C30*C31</f>
        <v>0.1275</v>
      </c>
    </row>
    <row r="33" customFormat="false" ht="15" hidden="false" customHeight="true" outlineLevel="0" collapsed="false">
      <c r="B33" s="23" t="s">
        <v>71</v>
      </c>
      <c r="C33" s="27" t="n">
        <v>0.08</v>
      </c>
    </row>
    <row r="34" customFormat="false" ht="15" hidden="false" customHeight="true" outlineLevel="0" collapsed="false">
      <c r="B34" s="23" t="s">
        <v>72</v>
      </c>
      <c r="C34" s="30" t="n">
        <f aca="false">C33*(1-C24)</f>
        <v>0.06</v>
      </c>
    </row>
    <row r="36" customFormat="false" ht="39.75" hidden="false" customHeight="true" outlineLevel="0" collapsed="false">
      <c r="B36" s="14" t="s">
        <v>73</v>
      </c>
      <c r="C36" s="14"/>
      <c r="D36" s="14"/>
      <c r="E36" s="14"/>
      <c r="F36" s="14"/>
      <c r="G36" s="14"/>
      <c r="H36" s="14"/>
    </row>
    <row r="38" customFormat="false" ht="19.5" hidden="false" customHeight="true" outlineLevel="0" collapsed="false">
      <c r="A38" s="15" t="s">
        <v>74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B39" s="23" t="s">
        <v>75</v>
      </c>
      <c r="C39" s="27" t="n">
        <v>0.05</v>
      </c>
    </row>
    <row r="40" customFormat="false" ht="15" hidden="false" customHeight="true" outlineLevel="0" collapsed="false">
      <c r="B40" s="14" t="s">
        <v>76</v>
      </c>
      <c r="C40" s="14"/>
      <c r="D40" s="14"/>
      <c r="E40" s="14"/>
      <c r="F40" s="14"/>
      <c r="G40" s="14"/>
      <c r="H40" s="14"/>
    </row>
    <row r="42" customFormat="false" ht="19.5" hidden="false" customHeight="true" outlineLevel="0" collapsed="false">
      <c r="A42" s="15" t="s">
        <v>77</v>
      </c>
      <c r="B42" s="15"/>
      <c r="C42" s="15"/>
      <c r="D42" s="15"/>
      <c r="E42" s="15"/>
      <c r="F42" s="15"/>
      <c r="G42" s="15"/>
      <c r="H42" s="15"/>
    </row>
    <row r="43" customFormat="false" ht="15" hidden="false" customHeight="true" outlineLevel="0" collapsed="false">
      <c r="B43" s="31" t="s">
        <v>78</v>
      </c>
      <c r="C43" s="32" t="s">
        <v>79</v>
      </c>
      <c r="D43" s="32"/>
      <c r="E43" s="32"/>
      <c r="F43" s="32"/>
      <c r="G43" s="32"/>
      <c r="H43" s="32"/>
    </row>
    <row r="44" customFormat="false" ht="15" hidden="false" customHeight="true" outlineLevel="0" collapsed="false">
      <c r="B44" s="21" t="s">
        <v>80</v>
      </c>
      <c r="C44" s="32" t="s">
        <v>81</v>
      </c>
      <c r="D44" s="32"/>
      <c r="E44" s="32"/>
      <c r="F44" s="32"/>
      <c r="G44" s="32"/>
      <c r="H44" s="32"/>
    </row>
    <row r="45" customFormat="false" ht="15" hidden="false" customHeight="true" outlineLevel="0" collapsed="false">
      <c r="B45" s="33" t="s">
        <v>82</v>
      </c>
      <c r="C45" s="32" t="s">
        <v>83</v>
      </c>
      <c r="D45" s="32"/>
      <c r="E45" s="32"/>
      <c r="F45" s="32"/>
      <c r="G45" s="32"/>
      <c r="H45" s="32"/>
    </row>
    <row r="46" customFormat="false" ht="27.75" hidden="false" customHeight="true" outlineLevel="0" collapsed="false">
      <c r="B46" s="19" t="s">
        <v>84</v>
      </c>
      <c r="C46" s="19"/>
      <c r="D46" s="19"/>
      <c r="E46" s="19"/>
      <c r="F46" s="19"/>
      <c r="G46" s="19"/>
      <c r="H46" s="19"/>
    </row>
  </sheetData>
  <mergeCells count="20">
    <mergeCell ref="A1:H1"/>
    <mergeCell ref="A2:H2"/>
    <mergeCell ref="A4:H4"/>
    <mergeCell ref="C6:E6"/>
    <mergeCell ref="C7:E7"/>
    <mergeCell ref="C8:E8"/>
    <mergeCell ref="C9:E9"/>
    <mergeCell ref="C10:E10"/>
    <mergeCell ref="B15:H15"/>
    <mergeCell ref="A17:H17"/>
    <mergeCell ref="B26:H26"/>
    <mergeCell ref="A28:H28"/>
    <mergeCell ref="B36:H36"/>
    <mergeCell ref="A38:H38"/>
    <mergeCell ref="B40:H40"/>
    <mergeCell ref="A42:H42"/>
    <mergeCell ref="C43:H43"/>
    <mergeCell ref="C44:H44"/>
    <mergeCell ref="C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B25" activeCellId="0" sqref="B2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30" hidden="false" customHeight="true" outlineLevel="0" collapsed="false">
      <c r="A1" s="1" t="s">
        <v>85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34" t="s">
        <v>86</v>
      </c>
      <c r="B2" s="34"/>
      <c r="C2" s="34"/>
      <c r="D2" s="34"/>
      <c r="E2" s="34"/>
      <c r="F2" s="34"/>
      <c r="G2" s="34"/>
    </row>
    <row r="4" customFormat="false" ht="15" hidden="false" customHeight="true" outlineLevel="0" collapsed="false">
      <c r="B4" s="11" t="s">
        <v>87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</row>
    <row r="5" customFormat="false" ht="15" hidden="false" customHeight="true" outlineLevel="0" collapsed="false">
      <c r="B5" s="23" t="s">
        <v>88</v>
      </c>
      <c r="C5" s="35" t="n">
        <v>20088</v>
      </c>
      <c r="D5" s="35" t="n">
        <v>27000</v>
      </c>
      <c r="E5" s="35" t="n">
        <v>36150</v>
      </c>
      <c r="F5" s="35" t="n">
        <v>46751</v>
      </c>
      <c r="G5" s="35" t="n">
        <v>57143</v>
      </c>
    </row>
    <row r="6" customFormat="false" ht="15" hidden="false" customHeight="true" outlineLevel="0" collapsed="false">
      <c r="B6" s="21" t="s">
        <v>58</v>
      </c>
      <c r="C6" s="36" t="s">
        <v>89</v>
      </c>
      <c r="D6" s="37" t="n">
        <f aca="false">D5/C5-1</f>
        <v>0.344086021505376</v>
      </c>
      <c r="E6" s="37" t="n">
        <f aca="false">E5/D5-1</f>
        <v>0.338888888888889</v>
      </c>
      <c r="F6" s="37" t="n">
        <f aca="false">F5/E5-1</f>
        <v>0.293250345781466</v>
      </c>
      <c r="G6" s="37" t="n">
        <f aca="false">G5/F5-1</f>
        <v>0.22228401531518</v>
      </c>
    </row>
    <row r="7" customFormat="false" ht="15" hidden="false" customHeight="true" outlineLevel="0" collapsed="false">
      <c r="B7" s="21" t="s">
        <v>90</v>
      </c>
      <c r="C7" s="27" t="n">
        <v>0.1225</v>
      </c>
      <c r="D7" s="27" t="n">
        <v>0.115</v>
      </c>
      <c r="E7" s="27" t="n">
        <v>0.114</v>
      </c>
      <c r="F7" s="27" t="n">
        <v>0.1132</v>
      </c>
      <c r="G7" s="27" t="n">
        <v>0.0996</v>
      </c>
    </row>
    <row r="8" customFormat="false" ht="15" hidden="false" customHeight="true" outlineLevel="0" collapsed="false">
      <c r="B8" s="23" t="s">
        <v>91</v>
      </c>
      <c r="C8" s="26" t="n">
        <f aca="false">C5*C7</f>
        <v>2460.78</v>
      </c>
      <c r="D8" s="26" t="n">
        <f aca="false">D5*D7</f>
        <v>3105</v>
      </c>
      <c r="E8" s="26" t="n">
        <f aca="false">E5*E7</f>
        <v>4121.1</v>
      </c>
      <c r="F8" s="26" t="n">
        <f aca="false">F5*F7</f>
        <v>5292.2132</v>
      </c>
      <c r="G8" s="26" t="n">
        <f aca="false">G5*G7</f>
        <v>5691.4428</v>
      </c>
    </row>
    <row r="9" customFormat="false" ht="15" hidden="false" customHeight="true" outlineLevel="0" collapsed="false">
      <c r="B9" s="23" t="s">
        <v>92</v>
      </c>
      <c r="C9" s="35" t="n">
        <v>973</v>
      </c>
      <c r="D9" s="35" t="n">
        <v>2153</v>
      </c>
      <c r="E9" s="35" t="n">
        <v>2802</v>
      </c>
      <c r="F9" s="35" t="n">
        <v>3496</v>
      </c>
      <c r="G9" s="35" t="n">
        <v>3337</v>
      </c>
    </row>
    <row r="10" customFormat="false" ht="15" hidden="false" customHeight="true" outlineLevel="0" collapsed="false">
      <c r="B10" s="21" t="s">
        <v>93</v>
      </c>
      <c r="C10" s="37" t="n">
        <f aca="false">C9/C5</f>
        <v>0.048436877737953</v>
      </c>
      <c r="D10" s="37" t="n">
        <f aca="false">D9/D5</f>
        <v>0.0797407407407407</v>
      </c>
      <c r="E10" s="37" t="n">
        <f aca="false">E9/E5</f>
        <v>0.0775103734439834</v>
      </c>
      <c r="F10" s="37" t="n">
        <f aca="false">F9/F5</f>
        <v>0.07477914910911</v>
      </c>
      <c r="G10" s="37" t="n">
        <f aca="false">G9/G5</f>
        <v>0.058397354006615</v>
      </c>
    </row>
    <row r="11" customFormat="false" ht="15" hidden="false" customHeight="true" outlineLevel="0" collapsed="false">
      <c r="B11" s="21" t="s">
        <v>94</v>
      </c>
      <c r="C11" s="35" t="n">
        <v>300</v>
      </c>
      <c r="D11" s="35" t="n">
        <v>400</v>
      </c>
      <c r="E11" s="35" t="n">
        <v>540</v>
      </c>
      <c r="F11" s="35" t="n">
        <v>700</v>
      </c>
      <c r="G11" s="35" t="n">
        <v>860</v>
      </c>
    </row>
    <row r="12" customFormat="false" ht="15" hidden="false" customHeight="true" outlineLevel="0" collapsed="false">
      <c r="B12" s="23" t="s">
        <v>95</v>
      </c>
      <c r="C12" s="26" t="n">
        <f aca="false">C8+C11</f>
        <v>2760.78</v>
      </c>
      <c r="D12" s="26" t="n">
        <f aca="false">D8+D11</f>
        <v>3505</v>
      </c>
      <c r="E12" s="26" t="n">
        <f aca="false">E8+E11</f>
        <v>4661.1</v>
      </c>
      <c r="F12" s="26" t="n">
        <f aca="false">F8+F11</f>
        <v>5992.2132</v>
      </c>
      <c r="G12" s="26" t="n">
        <f aca="false">G8+G11</f>
        <v>6551.4428</v>
      </c>
    </row>
    <row r="13" customFormat="false" ht="15" hidden="false" customHeight="true" outlineLevel="0" collapsed="false">
      <c r="B13" s="21" t="s">
        <v>96</v>
      </c>
      <c r="C13" s="35" t="n">
        <v>200</v>
      </c>
      <c r="D13" s="35" t="n">
        <v>270</v>
      </c>
      <c r="E13" s="35" t="n">
        <v>360</v>
      </c>
      <c r="F13" s="35" t="n">
        <v>470</v>
      </c>
      <c r="G13" s="35" t="n">
        <v>570</v>
      </c>
    </row>
    <row r="14" customFormat="false" ht="15" hidden="false" customHeight="true" outlineLevel="0" collapsed="false">
      <c r="B14" s="21" t="s">
        <v>97</v>
      </c>
      <c r="C14" s="35" t="n">
        <v>1500</v>
      </c>
      <c r="D14" s="35" t="n">
        <v>2200</v>
      </c>
      <c r="E14" s="35" t="n">
        <v>2800</v>
      </c>
      <c r="F14" s="35" t="n">
        <v>3200</v>
      </c>
      <c r="G14" s="35" t="n">
        <v>3100</v>
      </c>
    </row>
    <row r="15" customFormat="false" ht="15" hidden="false" customHeight="true" outlineLevel="0" collapsed="false">
      <c r="B15" s="21" t="s">
        <v>98</v>
      </c>
      <c r="C15" s="35" t="n">
        <v>2500</v>
      </c>
      <c r="D15" s="35" t="n">
        <v>3000</v>
      </c>
      <c r="E15" s="35" t="n">
        <v>3600</v>
      </c>
      <c r="F15" s="35" t="n">
        <v>4200</v>
      </c>
      <c r="G15" s="35" t="n">
        <v>4800</v>
      </c>
    </row>
    <row r="16" customFormat="false" ht="15" hidden="false" customHeight="true" outlineLevel="0" collapsed="false">
      <c r="B16" s="21" t="s">
        <v>99</v>
      </c>
      <c r="C16" s="35" t="n">
        <v>1200</v>
      </c>
      <c r="D16" s="35" t="n">
        <v>1400</v>
      </c>
      <c r="E16" s="35" t="n">
        <v>1700</v>
      </c>
      <c r="F16" s="35" t="n">
        <v>2000</v>
      </c>
      <c r="G16" s="35" t="n">
        <v>2300</v>
      </c>
    </row>
    <row r="17" customFormat="false" ht="15" hidden="false" customHeight="true" outlineLevel="0" collapsed="false">
      <c r="B17" s="23" t="s">
        <v>100</v>
      </c>
      <c r="C17" s="26" t="n">
        <f aca="false">C15-C16</f>
        <v>1300</v>
      </c>
      <c r="D17" s="26" t="n">
        <f aca="false">D15-D16</f>
        <v>1600</v>
      </c>
      <c r="E17" s="26" t="n">
        <f aca="false">E15-E16</f>
        <v>1900</v>
      </c>
      <c r="F17" s="26" t="n">
        <f aca="false">F15-F16</f>
        <v>2200</v>
      </c>
      <c r="G17" s="26" t="n">
        <f aca="false">G15-G16</f>
        <v>2500</v>
      </c>
    </row>
    <row r="18" customFormat="false" ht="15" hidden="false" customHeight="true" outlineLevel="0" collapsed="false">
      <c r="B18" s="21" t="s">
        <v>53</v>
      </c>
      <c r="C18" s="25" t="n">
        <v>87.9</v>
      </c>
      <c r="D18" s="25" t="n">
        <v>88.1</v>
      </c>
      <c r="E18" s="25" t="n">
        <v>88.3</v>
      </c>
      <c r="F18" s="25" t="n">
        <v>88.5</v>
      </c>
      <c r="G18" s="25" t="n">
        <v>88.7</v>
      </c>
    </row>
    <row r="19" customFormat="false" ht="15" hidden="false" customHeight="true" outlineLevel="0" collapsed="false">
      <c r="B19" s="23" t="s">
        <v>101</v>
      </c>
      <c r="C19" s="13" t="n">
        <f aca="false">C9/C18</f>
        <v>11.0693970420933</v>
      </c>
      <c r="D19" s="13" t="n">
        <f aca="false">D9/D18</f>
        <v>24.4381384790011</v>
      </c>
      <c r="E19" s="13" t="n">
        <f aca="false">E9/E18</f>
        <v>31.7327293318233</v>
      </c>
      <c r="F19" s="13" t="n">
        <f aca="false">F9/F18</f>
        <v>39.5028248587571</v>
      </c>
      <c r="G19" s="13" t="n">
        <f aca="false">G9/G18</f>
        <v>37.6211950394589</v>
      </c>
    </row>
    <row r="21" customFormat="false" ht="19.5" hidden="false" customHeight="true" outlineLevel="0" collapsed="false">
      <c r="A21" s="15" t="s">
        <v>102</v>
      </c>
      <c r="B21" s="15"/>
      <c r="C21" s="15"/>
      <c r="D21" s="15"/>
      <c r="E21" s="15"/>
      <c r="F21" s="15"/>
      <c r="G21" s="15"/>
    </row>
    <row r="22" customFormat="false" ht="60" hidden="false" customHeight="true" outlineLevel="0" collapsed="false">
      <c r="B22" s="14" t="s">
        <v>103</v>
      </c>
      <c r="C22" s="14"/>
      <c r="D22" s="14"/>
      <c r="E22" s="14"/>
      <c r="F22" s="14"/>
      <c r="G22" s="14"/>
    </row>
    <row r="23" customFormat="false" ht="48.75" hidden="false" customHeight="true" outlineLevel="0" collapsed="false">
      <c r="B23" s="14" t="s">
        <v>104</v>
      </c>
      <c r="C23" s="14"/>
      <c r="D23" s="14"/>
      <c r="E23" s="14"/>
      <c r="F23" s="14"/>
      <c r="G23" s="14"/>
    </row>
    <row r="24" customFormat="false" ht="58.5" hidden="false" customHeight="true" outlineLevel="0" collapsed="false">
      <c r="B24" s="14" t="s">
        <v>105</v>
      </c>
      <c r="C24" s="14"/>
      <c r="D24" s="14"/>
      <c r="E24" s="14"/>
      <c r="F24" s="14"/>
      <c r="G24" s="14"/>
    </row>
    <row r="25" customFormat="false" ht="50.25" hidden="false" customHeight="true" outlineLevel="0" collapsed="false">
      <c r="B25" s="14" t="s">
        <v>106</v>
      </c>
      <c r="C25" s="14"/>
      <c r="D25" s="14"/>
      <c r="E25" s="14"/>
      <c r="F25" s="14"/>
      <c r="G25" s="14"/>
    </row>
  </sheetData>
  <mergeCells count="7">
    <mergeCell ref="A1:G1"/>
    <mergeCell ref="A2:G2"/>
    <mergeCell ref="A21:G21"/>
    <mergeCell ref="B22:G22"/>
    <mergeCell ref="B23:G23"/>
    <mergeCell ref="B24:G2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30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0" t="s">
        <v>108</v>
      </c>
      <c r="B2" s="20"/>
      <c r="C2" s="20"/>
      <c r="D2" s="20"/>
      <c r="E2" s="20"/>
      <c r="F2" s="20"/>
      <c r="G2" s="20"/>
    </row>
    <row r="4" customFormat="false" ht="15" hidden="false" customHeight="true" outlineLevel="0" collapsed="false">
      <c r="B4" s="11" t="s">
        <v>87</v>
      </c>
      <c r="C4" s="11" t="s">
        <v>31</v>
      </c>
      <c r="D4" s="11" t="s">
        <v>32</v>
      </c>
      <c r="E4" s="11" t="s">
        <v>33</v>
      </c>
      <c r="F4" s="11" t="s">
        <v>34</v>
      </c>
      <c r="G4" s="11" t="s">
        <v>35</v>
      </c>
    </row>
    <row r="5" customFormat="false" ht="15" hidden="false" customHeight="true" outlineLevel="0" collapsed="false">
      <c r="B5" s="21" t="s">
        <v>109</v>
      </c>
      <c r="C5" s="38" t="n">
        <f aca="false">Inputs!C19</f>
        <v>0.15</v>
      </c>
      <c r="D5" s="38" t="n">
        <f aca="false">Inputs!D19</f>
        <v>0.14</v>
      </c>
      <c r="E5" s="38" t="n">
        <f aca="false">Inputs!E19</f>
        <v>0.13</v>
      </c>
      <c r="F5" s="38" t="n">
        <f aca="false">Inputs!F19</f>
        <v>0.12</v>
      </c>
      <c r="G5" s="38" t="n">
        <f aca="false">Inputs!G19</f>
        <v>0.11</v>
      </c>
    </row>
    <row r="6" customFormat="false" ht="15" hidden="false" customHeight="true" outlineLevel="0" collapsed="false">
      <c r="B6" s="23" t="s">
        <v>88</v>
      </c>
      <c r="C6" s="26" t="n">
        <f aca="false">'Historical Financials'!G5*(1+C5)</f>
        <v>65714.45</v>
      </c>
      <c r="D6" s="26" t="n">
        <f aca="false">C6*(1+D5)</f>
        <v>74914.473</v>
      </c>
      <c r="E6" s="26" t="n">
        <f aca="false">D6*(1+E5)</f>
        <v>84653.35449</v>
      </c>
      <c r="F6" s="26" t="n">
        <f aca="false">E6*(1+F5)</f>
        <v>94811.7570288</v>
      </c>
      <c r="G6" s="26" t="n">
        <f aca="false">F6*(1+G5)</f>
        <v>105241.050301968</v>
      </c>
    </row>
    <row r="7" customFormat="false" ht="15" hidden="false" customHeight="true" outlineLevel="0" collapsed="false">
      <c r="B7" s="21" t="s">
        <v>110</v>
      </c>
      <c r="C7" s="38" t="n">
        <f aca="false">Inputs!C20</f>
        <v>0.105</v>
      </c>
      <c r="D7" s="38" t="n">
        <f aca="false">Inputs!D20</f>
        <v>0.108</v>
      </c>
      <c r="E7" s="38" t="n">
        <f aca="false">Inputs!E20</f>
        <v>0.11</v>
      </c>
      <c r="F7" s="38" t="n">
        <f aca="false">Inputs!F20</f>
        <v>0.112</v>
      </c>
      <c r="G7" s="38" t="n">
        <f aca="false">Inputs!G20</f>
        <v>0.113</v>
      </c>
    </row>
    <row r="8" customFormat="false" ht="15" hidden="false" customHeight="true" outlineLevel="0" collapsed="false">
      <c r="B8" s="23" t="s">
        <v>91</v>
      </c>
      <c r="C8" s="26" t="n">
        <f aca="false">C6*C7</f>
        <v>6900.01725</v>
      </c>
      <c r="D8" s="26" t="n">
        <f aca="false">D6*D7</f>
        <v>8090.763084</v>
      </c>
      <c r="E8" s="26" t="n">
        <f aca="false">E6*E7</f>
        <v>9311.8689939</v>
      </c>
      <c r="F8" s="26" t="n">
        <f aca="false">F6*F7</f>
        <v>10618.9167872256</v>
      </c>
      <c r="G8" s="26" t="n">
        <f aca="false">G6*G7</f>
        <v>11892.2386841224</v>
      </c>
    </row>
    <row r="9" customFormat="false" ht="15" hidden="false" customHeight="true" outlineLevel="0" collapsed="false">
      <c r="B9" s="21" t="s">
        <v>111</v>
      </c>
      <c r="C9" s="38" t="n">
        <f aca="false">Inputs!$C$24</f>
        <v>0.25</v>
      </c>
      <c r="D9" s="38" t="n">
        <f aca="false">Inputs!$C$24</f>
        <v>0.25</v>
      </c>
      <c r="E9" s="38" t="n">
        <f aca="false">Inputs!$C$24</f>
        <v>0.25</v>
      </c>
      <c r="F9" s="38" t="n">
        <f aca="false">Inputs!$C$24</f>
        <v>0.25</v>
      </c>
      <c r="G9" s="38" t="n">
        <f aca="false">Inputs!$C$24</f>
        <v>0.25</v>
      </c>
    </row>
    <row r="10" customFormat="false" ht="15" hidden="false" customHeight="true" outlineLevel="0" collapsed="false">
      <c r="B10" s="23" t="s">
        <v>112</v>
      </c>
      <c r="C10" s="26" t="n">
        <f aca="false">C8*(1-C9)</f>
        <v>5175.0129375</v>
      </c>
      <c r="D10" s="26" t="n">
        <f aca="false">D8*(1-D9)</f>
        <v>6068.072313</v>
      </c>
      <c r="E10" s="26" t="n">
        <f aca="false">E8*(1-E9)</f>
        <v>6983.901745425</v>
      </c>
      <c r="F10" s="26" t="n">
        <f aca="false">F8*(1-F9)</f>
        <v>7964.1875904192</v>
      </c>
      <c r="G10" s="26" t="n">
        <f aca="false">G8*(1-G9)</f>
        <v>8919.17901309179</v>
      </c>
    </row>
    <row r="11" customFormat="false" ht="15" hidden="false" customHeight="true" outlineLevel="0" collapsed="false">
      <c r="B11" s="21" t="s">
        <v>113</v>
      </c>
      <c r="C11" s="26" t="n">
        <f aca="false">C6*Inputs!C21</f>
        <v>985.71675</v>
      </c>
      <c r="D11" s="26" t="n">
        <f aca="false">D6*Inputs!D21</f>
        <v>1123.717095</v>
      </c>
      <c r="E11" s="26" t="n">
        <f aca="false">E6*Inputs!E21</f>
        <v>1269.80031735</v>
      </c>
      <c r="F11" s="26" t="n">
        <f aca="false">F6*Inputs!F21</f>
        <v>1422.176355432</v>
      </c>
      <c r="G11" s="26" t="n">
        <f aca="false">G6*Inputs!G21</f>
        <v>1578.61575452952</v>
      </c>
    </row>
    <row r="12" customFormat="false" ht="15" hidden="false" customHeight="true" outlineLevel="0" collapsed="false">
      <c r="B12" s="21" t="s">
        <v>114</v>
      </c>
      <c r="C12" s="26" t="n">
        <f aca="false">C6*Inputs!C22</f>
        <v>788.5734</v>
      </c>
      <c r="D12" s="26" t="n">
        <f aca="false">D6*Inputs!D22</f>
        <v>898.973676</v>
      </c>
      <c r="E12" s="26" t="n">
        <f aca="false">E6*Inputs!E22</f>
        <v>1015.84025388</v>
      </c>
      <c r="F12" s="26" t="n">
        <f aca="false">F6*Inputs!F22</f>
        <v>1137.7410843456</v>
      </c>
      <c r="G12" s="26" t="n">
        <f aca="false">G6*Inputs!G22</f>
        <v>1262.89260362362</v>
      </c>
    </row>
    <row r="13" customFormat="false" ht="15" hidden="false" customHeight="true" outlineLevel="0" collapsed="false">
      <c r="B13" s="21" t="s">
        <v>115</v>
      </c>
      <c r="C13" s="26" t="n">
        <f aca="false">(C6-'Historical Financials'!G5)*Inputs!C23</f>
        <v>1714.29</v>
      </c>
      <c r="D13" s="26" t="n">
        <f aca="false">(D6-C6)*Inputs!D23</f>
        <v>1840.0046</v>
      </c>
      <c r="E13" s="26" t="n">
        <f aca="false">(E6-D6)*Inputs!E23</f>
        <v>1947.776298</v>
      </c>
      <c r="F13" s="26" t="n">
        <f aca="false">(F6-E6)*Inputs!F23</f>
        <v>2031.68050776</v>
      </c>
      <c r="G13" s="26" t="n">
        <f aca="false">(G6-F6)*Inputs!G23</f>
        <v>2085.8586546336</v>
      </c>
    </row>
    <row r="14" customFormat="false" ht="15" hidden="false" customHeight="true" outlineLevel="0" collapsed="false">
      <c r="B14" s="23" t="s">
        <v>116</v>
      </c>
      <c r="C14" s="39" t="n">
        <f aca="false">C10+C11-C12-C13</f>
        <v>3657.8662875</v>
      </c>
      <c r="D14" s="39" t="n">
        <f aca="false">D10+D11-D12-D13</f>
        <v>4452.811132</v>
      </c>
      <c r="E14" s="39" t="n">
        <f aca="false">E10+E11-E12-E13</f>
        <v>5290.085510895</v>
      </c>
      <c r="F14" s="39" t="n">
        <f aca="false">F10+F11-F12-F13</f>
        <v>6216.9423537456</v>
      </c>
      <c r="G14" s="39" t="n">
        <f aca="false">G10+G11-G12-G13</f>
        <v>7149.04350936409</v>
      </c>
    </row>
    <row r="16" customFormat="false" ht="30" hidden="false" customHeight="true" outlineLevel="0" collapsed="false">
      <c r="B16" s="14" t="s">
        <v>117</v>
      </c>
      <c r="C16" s="14"/>
      <c r="D16" s="14"/>
      <c r="E16" s="14"/>
      <c r="F16" s="14"/>
      <c r="G16" s="14"/>
    </row>
  </sheetData>
  <mergeCells count="3">
    <mergeCell ref="A1:G1"/>
    <mergeCell ref="A2:G2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30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0" t="s">
        <v>119</v>
      </c>
      <c r="B2" s="20"/>
      <c r="C2" s="20"/>
      <c r="D2" s="20"/>
      <c r="E2" s="20"/>
      <c r="F2" s="20"/>
      <c r="G2" s="20"/>
    </row>
    <row r="4" customFormat="false" ht="19.5" hidden="false" customHeight="true" outlineLevel="0" collapsed="false">
      <c r="A4" s="15" t="s">
        <v>120</v>
      </c>
      <c r="B4" s="15"/>
      <c r="C4" s="15"/>
      <c r="D4" s="15"/>
      <c r="E4" s="15"/>
      <c r="F4" s="15"/>
      <c r="G4" s="15"/>
    </row>
    <row r="5" customFormat="false" ht="15" hidden="false" customHeight="true" outlineLevel="0" collapsed="false">
      <c r="B5" s="21" t="s">
        <v>121</v>
      </c>
      <c r="C5" s="40" t="n">
        <f aca="false">Inputs!C13</f>
        <v>416730.34</v>
      </c>
    </row>
    <row r="6" customFormat="false" ht="15" hidden="false" customHeight="true" outlineLevel="0" collapsed="false">
      <c r="B6" s="21" t="s">
        <v>122</v>
      </c>
      <c r="C6" s="40" t="n">
        <f aca="false">'Historical Financials'!G15</f>
        <v>4800</v>
      </c>
    </row>
    <row r="7" customFormat="false" ht="15" hidden="false" customHeight="true" outlineLevel="0" collapsed="false">
      <c r="B7" s="21" t="s">
        <v>123</v>
      </c>
      <c r="C7" s="30" t="n">
        <f aca="false">C5/(C5+C6)</f>
        <v>0.988612919297814</v>
      </c>
    </row>
    <row r="8" customFormat="false" ht="15" hidden="false" customHeight="true" outlineLevel="0" collapsed="false">
      <c r="B8" s="21" t="s">
        <v>124</v>
      </c>
      <c r="C8" s="30" t="n">
        <f aca="false">C6/(C5+C6)</f>
        <v>0.0113870807021862</v>
      </c>
    </row>
    <row r="9" customFormat="false" ht="15" hidden="false" customHeight="true" outlineLevel="0" collapsed="false">
      <c r="B9" s="21" t="s">
        <v>125</v>
      </c>
      <c r="C9" s="41" t="n">
        <f aca="false">Inputs!C32</f>
        <v>0.1275</v>
      </c>
    </row>
    <row r="10" customFormat="false" ht="15" hidden="false" customHeight="true" outlineLevel="0" collapsed="false">
      <c r="B10" s="21" t="s">
        <v>126</v>
      </c>
      <c r="C10" s="41" t="n">
        <f aca="false">Inputs!C34</f>
        <v>0.06</v>
      </c>
    </row>
    <row r="11" customFormat="false" ht="15" hidden="false" customHeight="true" outlineLevel="0" collapsed="false">
      <c r="B11" s="23" t="s">
        <v>127</v>
      </c>
      <c r="C11" s="42" t="n">
        <f aca="false">C7*C9+C8*C10</f>
        <v>0.126731372052602</v>
      </c>
    </row>
    <row r="13" customFormat="false" ht="30" hidden="false" customHeight="true" outlineLevel="0" collapsed="false">
      <c r="B13" s="14" t="s">
        <v>128</v>
      </c>
      <c r="C13" s="14"/>
      <c r="D13" s="14"/>
      <c r="E13" s="14"/>
      <c r="F13" s="14"/>
      <c r="G13" s="14"/>
    </row>
    <row r="14" customFormat="false" ht="14.25" hidden="false" customHeight="false" outlineLevel="0" collapsed="false">
      <c r="D14" s="43"/>
    </row>
    <row r="15" customFormat="false" ht="19.5" hidden="false" customHeight="true" outlineLevel="0" collapsed="false">
      <c r="A15" s="15" t="s">
        <v>129</v>
      </c>
      <c r="B15" s="15"/>
      <c r="C15" s="15"/>
      <c r="D15" s="15"/>
      <c r="E15" s="15"/>
      <c r="F15" s="15"/>
      <c r="G15" s="15"/>
    </row>
    <row r="16" customFormat="false" ht="15" hidden="false" customHeight="true" outlineLevel="0" collapsed="false">
      <c r="B16" s="11" t="s">
        <v>87</v>
      </c>
      <c r="C16" s="11" t="s">
        <v>31</v>
      </c>
      <c r="D16" s="11" t="s">
        <v>32</v>
      </c>
      <c r="E16" s="11" t="s">
        <v>33</v>
      </c>
      <c r="F16" s="11" t="s">
        <v>34</v>
      </c>
      <c r="G16" s="11" t="s">
        <v>35</v>
      </c>
    </row>
    <row r="17" customFormat="false" ht="15" hidden="false" customHeight="true" outlineLevel="0" collapsed="false">
      <c r="B17" s="21" t="s">
        <v>130</v>
      </c>
      <c r="C17" s="12" t="n">
        <v>1</v>
      </c>
      <c r="D17" s="12" t="n">
        <v>2</v>
      </c>
      <c r="E17" s="12" t="n">
        <v>3</v>
      </c>
      <c r="F17" s="12" t="n">
        <v>4</v>
      </c>
      <c r="G17" s="12" t="n">
        <v>5</v>
      </c>
    </row>
    <row r="18" customFormat="false" ht="15" hidden="false" customHeight="true" outlineLevel="0" collapsed="false">
      <c r="B18" s="23" t="s">
        <v>131</v>
      </c>
      <c r="C18" s="40" t="n">
        <f aca="false">Forecast!C14</f>
        <v>3657.8662875</v>
      </c>
      <c r="D18" s="40" t="n">
        <f aca="false">Forecast!D14</f>
        <v>4452.811132</v>
      </c>
      <c r="E18" s="40" t="n">
        <f aca="false">Forecast!E14</f>
        <v>5290.085510895</v>
      </c>
      <c r="F18" s="40" t="n">
        <f aca="false">Forecast!F14</f>
        <v>6216.9423537456</v>
      </c>
      <c r="G18" s="40" t="n">
        <f aca="false">Forecast!G14</f>
        <v>7149.04350936409</v>
      </c>
    </row>
    <row r="19" customFormat="false" ht="15" hidden="false" customHeight="true" outlineLevel="0" collapsed="false">
      <c r="B19" s="21" t="s">
        <v>132</v>
      </c>
      <c r="C19" s="44" t="n">
        <f aca="false">1/(1+$C$11)^C17</f>
        <v>0.887522993327388</v>
      </c>
      <c r="D19" s="44" t="n">
        <f aca="false">1/(1+$C$11)^D17</f>
        <v>0.787697063684806</v>
      </c>
      <c r="E19" s="44" t="n">
        <f aca="false">1/(1+$C$11)^E17</f>
        <v>0.699099255796733</v>
      </c>
      <c r="F19" s="44" t="n">
        <f aca="false">1/(1+$C$11)^F17</f>
        <v>0.620466664137665</v>
      </c>
      <c r="G19" s="44" t="n">
        <f aca="false">1/(1+$C$11)^G17</f>
        <v>0.550678431015319</v>
      </c>
    </row>
    <row r="20" customFormat="false" ht="15" hidden="false" customHeight="true" outlineLevel="0" collapsed="false">
      <c r="B20" s="23" t="s">
        <v>133</v>
      </c>
      <c r="C20" s="26" t="n">
        <f aca="false">C18*C19</f>
        <v>3246.44043667334</v>
      </c>
      <c r="D20" s="26" t="n">
        <f aca="false">D18*D19</f>
        <v>3507.46625381942</v>
      </c>
      <c r="E20" s="26" t="n">
        <f aca="false">E18*E19</f>
        <v>3698.29484376777</v>
      </c>
      <c r="F20" s="26" t="n">
        <f aca="false">F18*F19</f>
        <v>3857.4054833647</v>
      </c>
      <c r="G20" s="26" t="n">
        <f aca="false">G18*G19</f>
        <v>3936.82406299687</v>
      </c>
    </row>
    <row r="22" customFormat="false" ht="15" hidden="false" customHeight="true" outlineLevel="0" collapsed="false">
      <c r="B22" s="23" t="s">
        <v>134</v>
      </c>
      <c r="C22" s="45" t="n">
        <f aca="false">SUM(C20:G20)</f>
        <v>18246.4310806221</v>
      </c>
    </row>
    <row r="24" customFormat="false" ht="19.5" hidden="false" customHeight="true" outlineLevel="0" collapsed="false">
      <c r="A24" s="15" t="s">
        <v>135</v>
      </c>
      <c r="B24" s="15"/>
      <c r="C24" s="15"/>
      <c r="D24" s="15"/>
      <c r="E24" s="15"/>
      <c r="F24" s="15"/>
      <c r="G24" s="15"/>
    </row>
    <row r="25" customFormat="false" ht="15" hidden="false" customHeight="true" outlineLevel="0" collapsed="false">
      <c r="B25" s="21" t="s">
        <v>136</v>
      </c>
      <c r="C25" s="26" t="n">
        <f aca="false">G18</f>
        <v>7149.04350936409</v>
      </c>
    </row>
    <row r="26" customFormat="false" ht="15" hidden="false" customHeight="true" outlineLevel="0" collapsed="false">
      <c r="B26" s="21" t="s">
        <v>75</v>
      </c>
      <c r="C26" s="38" t="n">
        <f aca="false">Inputs!C39</f>
        <v>0.05</v>
      </c>
    </row>
    <row r="27" customFormat="false" ht="15" hidden="false" customHeight="true" outlineLevel="0" collapsed="false">
      <c r="B27" s="23" t="s">
        <v>137</v>
      </c>
      <c r="C27" s="39" t="n">
        <f aca="false">C25*(1+C26)/(C11-C26)</f>
        <v>97828.2478734551</v>
      </c>
    </row>
    <row r="28" customFormat="false" ht="15" hidden="false" customHeight="true" outlineLevel="0" collapsed="false">
      <c r="B28" s="21" t="s">
        <v>138</v>
      </c>
      <c r="C28" s="44" t="n">
        <f aca="false">G19</f>
        <v>0.550678431015319</v>
      </c>
    </row>
    <row r="29" customFormat="false" ht="15" hidden="false" customHeight="true" outlineLevel="0" collapsed="false">
      <c r="B29" s="23" t="s">
        <v>139</v>
      </c>
      <c r="C29" s="45" t="n">
        <f aca="false">C27*C28</f>
        <v>53871.906047932</v>
      </c>
    </row>
    <row r="31" customFormat="false" ht="19.5" hidden="false" customHeight="true" outlineLevel="0" collapsed="false">
      <c r="A31" s="15" t="s">
        <v>140</v>
      </c>
      <c r="B31" s="15"/>
      <c r="C31" s="15"/>
      <c r="D31" s="15"/>
      <c r="E31" s="15"/>
      <c r="F31" s="15"/>
      <c r="G31" s="15"/>
    </row>
    <row r="32" customFormat="false" ht="15" hidden="false" customHeight="true" outlineLevel="0" collapsed="false">
      <c r="B32" s="23" t="s">
        <v>141</v>
      </c>
      <c r="C32" s="39" t="n">
        <f aca="false">C22+C29</f>
        <v>72118.3371285541</v>
      </c>
    </row>
    <row r="33" customFormat="false" ht="15" hidden="false" customHeight="true" outlineLevel="0" collapsed="false">
      <c r="B33" s="21" t="s">
        <v>142</v>
      </c>
      <c r="C33" s="37" t="n">
        <f aca="false">C29/C32</f>
        <v>0.746993180831429</v>
      </c>
    </row>
    <row r="34" customFormat="false" ht="15" hidden="false" customHeight="true" outlineLevel="0" collapsed="false">
      <c r="B34" s="21" t="s">
        <v>143</v>
      </c>
      <c r="C34" s="40" t="n">
        <f aca="false">'Historical Financials'!G17</f>
        <v>2500</v>
      </c>
    </row>
    <row r="35" customFormat="false" ht="15" hidden="false" customHeight="true" outlineLevel="0" collapsed="false">
      <c r="B35" s="23" t="s">
        <v>144</v>
      </c>
      <c r="C35" s="45" t="n">
        <f aca="false">C32-C34</f>
        <v>69618.3371285541</v>
      </c>
    </row>
    <row r="36" customFormat="false" ht="15" hidden="false" customHeight="true" outlineLevel="0" collapsed="false">
      <c r="B36" s="21" t="s">
        <v>53</v>
      </c>
      <c r="C36" s="46" t="n">
        <f aca="false">Inputs!C12</f>
        <v>88.7</v>
      </c>
    </row>
    <row r="37" customFormat="false" ht="15" hidden="false" customHeight="true" outlineLevel="0" collapsed="false">
      <c r="B37" s="23" t="s">
        <v>145</v>
      </c>
      <c r="C37" s="47" t="n">
        <f aca="false">C35/C36</f>
        <v>784.874150265548</v>
      </c>
    </row>
    <row r="38" customFormat="false" ht="15" hidden="false" customHeight="true" outlineLevel="0" collapsed="false">
      <c r="B38" s="21" t="s">
        <v>52</v>
      </c>
      <c r="C38" s="48" t="n">
        <f aca="false">Inputs!C11</f>
        <v>4698.2</v>
      </c>
    </row>
    <row r="39" customFormat="false" ht="15" hidden="false" customHeight="true" outlineLevel="0" collapsed="false">
      <c r="B39" s="23" t="s">
        <v>146</v>
      </c>
      <c r="C39" s="49" t="n">
        <f aca="false">C37/C38-1</f>
        <v>-0.832941520100135</v>
      </c>
    </row>
    <row r="41" customFormat="false" ht="41.25" hidden="false" customHeight="true" outlineLevel="0" collapsed="false">
      <c r="B41" s="14" t="s">
        <v>147</v>
      </c>
      <c r="C41" s="14"/>
      <c r="D41" s="14"/>
      <c r="E41" s="14"/>
      <c r="F41" s="14"/>
      <c r="G41" s="14"/>
    </row>
  </sheetData>
  <mergeCells count="8">
    <mergeCell ref="A1:G1"/>
    <mergeCell ref="A2:G2"/>
    <mergeCell ref="A4:G4"/>
    <mergeCell ref="B13:G13"/>
    <mergeCell ref="A15:G15"/>
    <mergeCell ref="A24:G24"/>
    <mergeCell ref="A31:G31"/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G12" activeCellId="0" sqref="G1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3"/>
  </cols>
  <sheetData>
    <row r="1" customFormat="false" ht="30" hidden="false" customHeight="true" outlineLevel="0" collapsed="false">
      <c r="A1" s="50" t="s">
        <v>148</v>
      </c>
      <c r="B1" s="50"/>
      <c r="C1" s="50"/>
      <c r="D1" s="50"/>
      <c r="E1" s="50"/>
      <c r="F1" s="50"/>
      <c r="G1" s="50"/>
      <c r="H1" s="51"/>
      <c r="I1" s="51"/>
    </row>
    <row r="2" customFormat="false" ht="15" hidden="false" customHeight="true" outlineLevel="0" collapsed="false">
      <c r="A2" s="52" t="s">
        <v>149</v>
      </c>
      <c r="B2" s="52"/>
      <c r="C2" s="52"/>
      <c r="D2" s="52"/>
      <c r="E2" s="52"/>
      <c r="F2" s="52"/>
      <c r="G2" s="52"/>
    </row>
    <row r="4" customFormat="false" ht="15" hidden="false" customHeight="true" outlineLevel="0" collapsed="false">
      <c r="B4" s="11" t="s">
        <v>150</v>
      </c>
      <c r="C4" s="11" t="s">
        <v>151</v>
      </c>
      <c r="D4" s="11" t="s">
        <v>152</v>
      </c>
    </row>
    <row r="5" customFormat="false" ht="15" hidden="false" customHeight="true" outlineLevel="0" collapsed="false">
      <c r="B5" s="12" t="s">
        <v>153</v>
      </c>
      <c r="C5" s="53" t="n">
        <v>35</v>
      </c>
      <c r="D5" s="53" t="n">
        <v>18</v>
      </c>
    </row>
    <row r="6" customFormat="false" ht="15" hidden="false" customHeight="true" outlineLevel="0" collapsed="false">
      <c r="B6" s="12" t="s">
        <v>154</v>
      </c>
      <c r="C6" s="53" t="n">
        <v>22</v>
      </c>
      <c r="D6" s="53" t="n">
        <v>14</v>
      </c>
    </row>
    <row r="7" customFormat="false" ht="15" hidden="false" customHeight="true" outlineLevel="0" collapsed="false">
      <c r="B7" s="12" t="s">
        <v>155</v>
      </c>
      <c r="C7" s="53" t="n">
        <v>45</v>
      </c>
      <c r="D7" s="53" t="n">
        <v>28</v>
      </c>
    </row>
    <row r="8" customFormat="false" ht="15" hidden="false" customHeight="true" outlineLevel="0" collapsed="false">
      <c r="B8" s="12" t="s">
        <v>156</v>
      </c>
      <c r="C8" s="53" t="n">
        <v>12</v>
      </c>
      <c r="D8" s="53" t="n">
        <v>8</v>
      </c>
    </row>
    <row r="9" customFormat="false" ht="15" hidden="false" customHeight="true" outlineLevel="0" collapsed="false">
      <c r="B9" s="23" t="s">
        <v>157</v>
      </c>
      <c r="C9" s="54" t="n">
        <f aca="false">MEDIAN(C5:C8)</f>
        <v>28.5</v>
      </c>
      <c r="D9" s="54" t="n">
        <f aca="false">MEDIAN(D5:D8)</f>
        <v>16</v>
      </c>
    </row>
    <row r="11" customFormat="false" ht="54" hidden="false" customHeight="true" outlineLevel="0" collapsed="false">
      <c r="B11" s="55" t="s">
        <v>158</v>
      </c>
      <c r="C11" s="55"/>
      <c r="D11" s="55"/>
      <c r="E11" s="56"/>
      <c r="F11" s="56"/>
      <c r="G11" s="56"/>
    </row>
    <row r="13" customFormat="false" ht="19.5" hidden="false" customHeight="true" outlineLevel="0" collapsed="false">
      <c r="A13" s="15" t="s">
        <v>159</v>
      </c>
      <c r="B13" s="15"/>
      <c r="C13" s="15"/>
      <c r="D13" s="15"/>
    </row>
    <row r="14" customFormat="false" ht="15" hidden="false" customHeight="true" outlineLevel="0" collapsed="false">
      <c r="B14" s="21" t="s">
        <v>160</v>
      </c>
      <c r="C14" s="48" t="n">
        <f aca="false">'Historical Financials'!G19</f>
        <v>37.6211950394589</v>
      </c>
    </row>
    <row r="15" customFormat="false" ht="15" hidden="false" customHeight="true" outlineLevel="0" collapsed="false">
      <c r="B15" s="23" t="s">
        <v>161</v>
      </c>
      <c r="C15" s="47" t="n">
        <f aca="false">C14*C9</f>
        <v>1072.20405862458</v>
      </c>
    </row>
    <row r="17" customFormat="false" ht="15" hidden="false" customHeight="true" outlineLevel="0" collapsed="false">
      <c r="B17" s="21" t="s">
        <v>162</v>
      </c>
      <c r="C17" s="40" t="n">
        <f aca="false">'Historical Financials'!G12</f>
        <v>6551.4428</v>
      </c>
    </row>
    <row r="18" customFormat="false" ht="15" hidden="false" customHeight="true" outlineLevel="0" collapsed="false">
      <c r="B18" s="21" t="s">
        <v>163</v>
      </c>
      <c r="C18" s="26" t="n">
        <f aca="false">C17*D9</f>
        <v>104823.0848</v>
      </c>
    </row>
    <row r="19" customFormat="false" ht="15" hidden="false" customHeight="true" outlineLevel="0" collapsed="false">
      <c r="B19" s="21" t="s">
        <v>143</v>
      </c>
      <c r="C19" s="40" t="n">
        <f aca="false">'Historical Financials'!G17</f>
        <v>2500</v>
      </c>
    </row>
    <row r="20" customFormat="false" ht="15" hidden="false" customHeight="true" outlineLevel="0" collapsed="false">
      <c r="B20" s="21" t="s">
        <v>164</v>
      </c>
      <c r="C20" s="26" t="n">
        <f aca="false">C18-C19</f>
        <v>102323.0848</v>
      </c>
    </row>
    <row r="21" customFormat="false" ht="15" hidden="false" customHeight="true" outlineLevel="0" collapsed="false">
      <c r="B21" s="21" t="s">
        <v>53</v>
      </c>
      <c r="C21" s="46" t="n">
        <f aca="false">Inputs!C12</f>
        <v>88.7</v>
      </c>
    </row>
    <row r="22" customFormat="false" ht="15" hidden="false" customHeight="true" outlineLevel="0" collapsed="false">
      <c r="B22" s="23" t="s">
        <v>165</v>
      </c>
      <c r="C22" s="47" t="n">
        <f aca="false">C20/C21</f>
        <v>1153.58607440812</v>
      </c>
    </row>
    <row r="24" customFormat="false" ht="15" hidden="false" customHeight="true" outlineLevel="0" collapsed="false">
      <c r="B24" s="23" t="s">
        <v>166</v>
      </c>
      <c r="C24" s="47" t="n">
        <f aca="false">AVERAGE(C15,C22)</f>
        <v>1112.89506651635</v>
      </c>
    </row>
    <row r="26" customFormat="false" ht="42" hidden="false" customHeight="true" outlineLevel="0" collapsed="false">
      <c r="B26" s="14" t="s">
        <v>167</v>
      </c>
      <c r="C26" s="14"/>
      <c r="D26" s="14"/>
    </row>
  </sheetData>
  <mergeCells count="5">
    <mergeCell ref="A1:G1"/>
    <mergeCell ref="A2:G2"/>
    <mergeCell ref="B11:D11"/>
    <mergeCell ref="A13:D13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7" min="3" style="0" width="13"/>
    <col collapsed="false" customWidth="true" hidden="false" outlineLevel="0" max="9" min="8" style="0" width="3"/>
  </cols>
  <sheetData>
    <row r="1" customFormat="false" ht="30" hidden="false" customHeight="true" outlineLevel="0" collapsed="false">
      <c r="A1" s="1" t="s">
        <v>168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0" t="s">
        <v>169</v>
      </c>
      <c r="B2" s="20"/>
      <c r="C2" s="20"/>
      <c r="D2" s="20"/>
      <c r="E2" s="20"/>
      <c r="F2" s="20"/>
      <c r="G2" s="20"/>
      <c r="H2" s="20"/>
    </row>
    <row r="4" customFormat="false" ht="15" hidden="false" customHeight="true" outlineLevel="0" collapsed="false">
      <c r="B4" s="21" t="s">
        <v>170</v>
      </c>
      <c r="C4" s="41" t="n">
        <f aca="false">'DCF Valuation'!C11</f>
        <v>0.126731372052602</v>
      </c>
    </row>
    <row r="5" customFormat="false" ht="15" hidden="false" customHeight="true" outlineLevel="0" collapsed="false">
      <c r="B5" s="21" t="s">
        <v>171</v>
      </c>
      <c r="C5" s="38" t="n">
        <f aca="false">'DCF Valuation'!C26</f>
        <v>0.05</v>
      </c>
    </row>
    <row r="7" customFormat="false" ht="15" hidden="false" customHeight="true" outlineLevel="0" collapsed="false">
      <c r="B7" s="57" t="s">
        <v>172</v>
      </c>
      <c r="C7" s="58" t="n">
        <f aca="false">$C$5+-0.01</f>
        <v>0.04</v>
      </c>
      <c r="D7" s="58" t="n">
        <f aca="false">$C$5+-0.005</f>
        <v>0.045</v>
      </c>
      <c r="E7" s="58" t="n">
        <f aca="false">$C$5+0</f>
        <v>0.05</v>
      </c>
      <c r="F7" s="58" t="n">
        <f aca="false">$C$5+0.005</f>
        <v>0.055</v>
      </c>
      <c r="G7" s="58" t="n">
        <f aca="false">$C$5+0.01</f>
        <v>0.06</v>
      </c>
    </row>
    <row r="8" customFormat="false" ht="15" hidden="false" customHeight="true" outlineLevel="0" collapsed="false">
      <c r="B8" s="59" t="n">
        <f aca="false">$C$4+-0.01</f>
        <v>0.116731372052602</v>
      </c>
      <c r="C8" s="13" t="n">
        <f aca="false">('DCF Valuation'!C$18/(1+$B$8)^1+'DCF Valuation'!D$18/(1+$B$8)^2+'DCF Valuation'!E$18/(1+$B$8)^3+'DCF Valuation'!F$18/(1+$B$8)^4+'DCF Valuation'!G$18/(1+$B$8)^5+('DCF Valuation'!G$18*(1+C$7)/($B$8-C$7))/(1+$B$8)^5-'DCF Valuation'!$C$34)/'DCF Valuation'!$C$36</f>
        <v>812.281896819412</v>
      </c>
      <c r="D8" s="13" t="n">
        <f aca="false">('DCF Valuation'!C$18/(1+$B$8)^1+'DCF Valuation'!D$18/(1+$B$8)^2+'DCF Valuation'!E$18/(1+$B$8)^3+'DCF Valuation'!F$18/(1+$B$8)^4+'DCF Valuation'!G$18/(1+$B$8)^5+('DCF Valuation'!G$18*(1+D$7)/($B$8-D$7))/(1+$B$8)^5-'DCF Valuation'!$C$34)/'DCF Valuation'!$C$36</f>
        <v>859.359826452194</v>
      </c>
      <c r="E8" s="13" t="n">
        <f aca="false">('DCF Valuation'!C$18/(1+$B$8)^1+'DCF Valuation'!D$18/(1+$B$8)^2+'DCF Valuation'!E$18/(1+$B$8)^3+'DCF Valuation'!F$18/(1+$B$8)^4+'DCF Valuation'!G$18/(1+$B$8)^5+('DCF Valuation'!G$18*(1+E$7)/($B$8-E$7))/(1+$B$8)^5-'DCF Valuation'!$C$34)/'DCF Valuation'!$C$36</f>
        <v>913.492598235632</v>
      </c>
      <c r="F8" s="13" t="n">
        <f aca="false">('DCF Valuation'!C$18/(1+$B$8)^1+'DCF Valuation'!D$18/(1+$B$8)^2+'DCF Valuation'!E$18/(1+$B$8)^3+'DCF Valuation'!F$18/(1+$B$8)^4+'DCF Valuation'!G$18/(1+$B$8)^5+('DCF Valuation'!G$18*(1+F$7)/($B$8-F$7))/(1+$B$8)^5-'DCF Valuation'!$C$34)/'DCF Valuation'!$C$36</f>
        <v>976.39445613906</v>
      </c>
      <c r="G8" s="13" t="n">
        <f aca="false">('DCF Valuation'!C$18/(1+$B$8)^1+'DCF Valuation'!D$18/(1+$B$8)^2+'DCF Valuation'!E$18/(1+$B$8)^3+'DCF Valuation'!F$18/(1+$B$8)^4+'DCF Valuation'!G$18/(1+$B$8)^5+('DCF Valuation'!G$18*(1+G$7)/($B$8-G$7))/(1+$B$8)^5-'DCF Valuation'!$C$34)/'DCF Valuation'!$C$36</f>
        <v>1050.38398134676</v>
      </c>
    </row>
    <row r="9" customFormat="false" ht="15" hidden="false" customHeight="true" outlineLevel="0" collapsed="false">
      <c r="B9" s="59" t="n">
        <f aca="false">$C$4+-0.005</f>
        <v>0.121731372052602</v>
      </c>
      <c r="C9" s="13" t="n">
        <f aca="false">('DCF Valuation'!C$18/(1+$B$9)^1+'DCF Valuation'!D$18/(1+$B$9)^2+'DCF Valuation'!E$18/(1+$B$9)^3+'DCF Valuation'!F$18/(1+$B$9)^4+'DCF Valuation'!G$18/(1+$B$9)^5+('DCF Valuation'!G$18*(1+C$7)/($B$9-C$7))/(1+$B$9)^5-'DCF Valuation'!$C$34)/'DCF Valuation'!$C$36</f>
        <v>757.843179406908</v>
      </c>
      <c r="D9" s="13" t="n">
        <f aca="false">('DCF Valuation'!C$18/(1+$B$9)^1+'DCF Valuation'!D$18/(1+$B$9)^2+'DCF Valuation'!E$18/(1+$B$9)^3+'DCF Valuation'!F$18/(1+$B$9)^4+'DCF Valuation'!G$18/(1+$B$9)^5+('DCF Valuation'!G$18*(1+D$7)/($B$9-D$7))/(1+$B$9)^5-'DCF Valuation'!$C$34)/'DCF Valuation'!$C$36</f>
        <v>798.429259337603</v>
      </c>
      <c r="E9" s="13" t="n">
        <f aca="false">('DCF Valuation'!C$18/(1+$B$9)^1+'DCF Valuation'!D$18/(1+$B$9)^2+'DCF Valuation'!E$18/(1+$B$9)^3+'DCF Valuation'!F$18/(1+$B$9)^4+'DCF Valuation'!G$18/(1+$B$9)^5+('DCF Valuation'!G$18*(1+E$7)/($B$9-E$7))/(1+$B$9)^5-'DCF Valuation'!$C$34)/'DCF Valuation'!$C$36</f>
        <v>844.673404738026</v>
      </c>
      <c r="F9" s="13" t="n">
        <f aca="false">('DCF Valuation'!C$18/(1+$B$9)^1+'DCF Valuation'!D$18/(1+$B$9)^2+'DCF Valuation'!E$18/(1+$B$9)^3+'DCF Valuation'!F$18/(1+$B$9)^4+'DCF Valuation'!G$18/(1+$B$9)^5+('DCF Valuation'!G$18*(1+F$7)/($B$9-F$7))/(1+$B$9)^5-'DCF Valuation'!$C$34)/'DCF Valuation'!$C$36</f>
        <v>897.847445924792</v>
      </c>
      <c r="G9" s="13" t="n">
        <f aca="false">('DCF Valuation'!C$18/(1+$B$9)^1+'DCF Valuation'!D$18/(1+$B$9)^2+'DCF Valuation'!E$18/(1+$B$9)^3+'DCF Valuation'!F$18/(1+$B$9)^4+'DCF Valuation'!G$18/(1+$B$9)^5+('DCF Valuation'!G$18*(1+G$7)/($B$9-G$7))/(1+$B$9)^5-'DCF Valuation'!$C$34)/'DCF Valuation'!$C$36</f>
        <v>959.63526636491</v>
      </c>
    </row>
    <row r="10" customFormat="false" ht="15" hidden="false" customHeight="true" outlineLevel="0" collapsed="false">
      <c r="B10" s="59" t="n">
        <f aca="false">$C$4+0</f>
        <v>0.126731372052602</v>
      </c>
      <c r="C10" s="13" t="n">
        <f aca="false">('DCF Valuation'!C$18/(1+$B$10)^1+'DCF Valuation'!D$18/(1+$B$10)^2+'DCF Valuation'!E$18/(1+$B$10)^3+'DCF Valuation'!F$18/(1+$B$10)^4+'DCF Valuation'!G$18/(1+$B$10)^5+('DCF Valuation'!G$18*(1+C$7)/($B$10-C$7))/(1+$B$10)^5-'DCF Valuation'!$C$34)/'DCF Valuation'!$C$36</f>
        <v>709.730274265364</v>
      </c>
      <c r="D10" s="13" t="n">
        <f aca="false">('DCF Valuation'!C$18/(1+$B$10)^1+'DCF Valuation'!D$18/(1+$B$10)^2+'DCF Valuation'!E$18/(1+$B$10)^3+'DCF Valuation'!F$18/(1+$B$10)^4+'DCF Valuation'!G$18/(1+$B$10)^5+('DCF Valuation'!G$18*(1+D$7)/($B$10-D$7))/(1+$B$10)^5-'DCF Valuation'!$C$34)/'DCF Valuation'!$C$36</f>
        <v>745.003710658514</v>
      </c>
      <c r="E10" s="47" t="n">
        <f aca="false">('DCF Valuation'!C$18/(1+$B$10)^1+'DCF Valuation'!D$18/(1+$B$10)^2+'DCF Valuation'!E$18/(1+$B$10)^3+'DCF Valuation'!F$18/(1+$B$10)^4+'DCF Valuation'!G$18/(1+$B$10)^5+('DCF Valuation'!G$18*(1+E$7)/($B$10-E$7))/(1+$B$10)^5-'DCF Valuation'!$C$34)/'DCF Valuation'!$C$36</f>
        <v>784.874150265548</v>
      </c>
      <c r="F10" s="13" t="n">
        <f aca="false">('DCF Valuation'!C$18/(1+$B$10)^1+'DCF Valuation'!D$18/(1+$B$10)^2+'DCF Valuation'!E$18/(1+$B$10)^3+'DCF Valuation'!F$18/(1+$B$10)^4+'DCF Valuation'!G$18/(1+$B$10)^5+('DCF Valuation'!G$18*(1+F$7)/($B$10-F$7))/(1+$B$10)^5-'DCF Valuation'!$C$34)/'DCF Valuation'!$C$36</f>
        <v>830.302888628918</v>
      </c>
      <c r="G10" s="13" t="n">
        <f aca="false">('DCF Valuation'!C$18/(1+$B$10)^1+'DCF Valuation'!D$18/(1+$B$10)^2+'DCF Valuation'!E$18/(1+$B$10)^3+'DCF Valuation'!F$18/(1+$B$10)^4+'DCF Valuation'!G$18/(1+$B$10)^5+('DCF Valuation'!G$18*(1+G$7)/($B$10-G$7))/(1+$B$10)^5-'DCF Valuation'!$C$34)/'DCF Valuation'!$C$36</f>
        <v>882.539330320727</v>
      </c>
    </row>
    <row r="11" customFormat="false" ht="15" hidden="false" customHeight="true" outlineLevel="0" collapsed="false">
      <c r="B11" s="59" t="n">
        <f aca="false">$C$4+0.005</f>
        <v>0.131731372052602</v>
      </c>
      <c r="C11" s="13" t="n">
        <f aca="false">('DCF Valuation'!C$18/(1+$B$11)^1+'DCF Valuation'!D$18/(1+$B$11)^2+'DCF Valuation'!E$18/(1+$B$11)^3+'DCF Valuation'!F$18/(1+$B$11)^4+'DCF Valuation'!G$18/(1+$B$11)^5+('DCF Valuation'!G$18*(1+C$7)/($B$11-C$7))/(1+$B$11)^5-'DCF Valuation'!$C$34)/'DCF Valuation'!$C$36</f>
        <v>666.907724139165</v>
      </c>
      <c r="D11" s="13" t="n">
        <f aca="false">('DCF Valuation'!C$18/(1+$B$11)^1+'DCF Valuation'!D$18/(1+$B$11)^2+'DCF Valuation'!E$18/(1+$B$11)^3+'DCF Valuation'!F$18/(1+$B$11)^4+'DCF Valuation'!G$18/(1+$B$11)^5+('DCF Valuation'!G$18*(1+D$7)/($B$11-D$7))/(1+$B$11)^5-'DCF Valuation'!$C$34)/'DCF Valuation'!$C$36</f>
        <v>697.78413412612</v>
      </c>
      <c r="E11" s="13" t="n">
        <f aca="false">('DCF Valuation'!C$18/(1+$B$11)^1+'DCF Valuation'!D$18/(1+$B$11)^2+'DCF Valuation'!E$18/(1+$B$11)^3+'DCF Valuation'!F$18/(1+$B$11)^4+'DCF Valuation'!G$18/(1+$B$11)^5+('DCF Valuation'!G$18*(1+E$7)/($B$11-E$7))/(1+$B$11)^5-'DCF Valuation'!$C$34)/'DCF Valuation'!$C$36</f>
        <v>732.438335824083</v>
      </c>
      <c r="F11" s="13" t="n">
        <f aca="false">('DCF Valuation'!C$18/(1+$B$11)^1+'DCF Valuation'!D$18/(1+$B$11)^2+'DCF Valuation'!E$18/(1+$B$11)^3+'DCF Valuation'!F$18/(1+$B$11)^4+'DCF Valuation'!G$18/(1+$B$11)^5+('DCF Valuation'!G$18*(1+F$7)/($B$11-F$7))/(1+$B$11)^5-'DCF Valuation'!$C$34)/'DCF Valuation'!$C$36</f>
        <v>771.608839103908</v>
      </c>
      <c r="G11" s="13" t="n">
        <f aca="false">('DCF Valuation'!C$18/(1+$B$11)^1+'DCF Valuation'!D$18/(1+$B$11)^2+'DCF Valuation'!E$18/(1+$B$11)^3+'DCF Valuation'!F$18/(1+$B$11)^4+'DCF Valuation'!G$18/(1+$B$11)^5+('DCF Valuation'!G$18*(1+G$7)/($B$11-G$7))/(1+$B$11)^5-'DCF Valuation'!$C$34)/'DCF Valuation'!$C$36</f>
        <v>816.240063705375</v>
      </c>
    </row>
    <row r="12" customFormat="false" ht="15" hidden="false" customHeight="true" outlineLevel="0" collapsed="false">
      <c r="B12" s="59" t="n">
        <f aca="false">$C$4+0.01</f>
        <v>0.136731372052602</v>
      </c>
      <c r="C12" s="13" t="n">
        <f aca="false">('DCF Valuation'!C$18/(1+$B$12)^1+'DCF Valuation'!D$18/(1+$B$12)^2+'DCF Valuation'!E$18/(1+$B$12)^3+'DCF Valuation'!F$18/(1+$B$12)^4+'DCF Valuation'!G$18/(1+$B$12)^5+('DCF Valuation'!G$18*(1+C$7)/($B$12-C$7))/(1+$B$12)^5-'DCF Valuation'!$C$34)/'DCF Valuation'!$C$36</f>
        <v>628.554188685335</v>
      </c>
      <c r="D12" s="13" t="n">
        <f aca="false">('DCF Valuation'!C$18/(1+$B$12)^1+'DCF Valuation'!D$18/(1+$B$12)^2+'DCF Valuation'!E$18/(1+$B$12)^3+'DCF Valuation'!F$18/(1+$B$12)^4+'DCF Valuation'!G$18/(1+$B$12)^5+('DCF Valuation'!G$18*(1+D$7)/($B$12-D$7))/(1+$B$12)^5-'DCF Valuation'!$C$34)/'DCF Valuation'!$C$36</f>
        <v>655.754739789775</v>
      </c>
      <c r="E12" s="13" t="n">
        <f aca="false">('DCF Valuation'!C$18/(1+$B$12)^1+'DCF Valuation'!D$18/(1+$B$12)^2+'DCF Valuation'!E$18/(1+$B$12)^3+'DCF Valuation'!F$18/(1+$B$12)^4+'DCF Valuation'!G$18/(1+$B$12)^5+('DCF Valuation'!G$18*(1+E$7)/($B$12-E$7))/(1+$B$12)^5-'DCF Valuation'!$C$34)/'DCF Valuation'!$C$36</f>
        <v>686.091474545033</v>
      </c>
      <c r="F12" s="13" t="n">
        <f aca="false">('DCF Valuation'!C$18/(1+$B$12)^1+'DCF Valuation'!D$18/(1+$B$12)^2+'DCF Valuation'!E$18/(1+$B$12)^3+'DCF Valuation'!F$18/(1+$B$12)^4+'DCF Valuation'!G$18/(1+$B$12)^5+('DCF Valuation'!G$18*(1+F$7)/($B$12-F$7))/(1+$B$12)^5-'DCF Valuation'!$C$34)/'DCF Valuation'!$C$36</f>
        <v>720.139970646441</v>
      </c>
      <c r="G12" s="13" t="n">
        <f aca="false">('DCF Valuation'!C$18/(1+$B$12)^1+'DCF Valuation'!D$18/(1+$B$12)^2+'DCF Valuation'!E$18/(1+$B$12)^3+'DCF Valuation'!F$18/(1+$B$12)^4+'DCF Valuation'!G$18/(1+$B$12)^5+('DCF Valuation'!G$18*(1+G$7)/($B$12-G$7))/(1+$B$12)^5-'DCF Valuation'!$C$34)/'DCF Valuation'!$C$36</f>
        <v>758.625829874636</v>
      </c>
    </row>
    <row r="14" customFormat="false" ht="53.25" hidden="false" customHeight="true" outlineLevel="0" collapsed="false">
      <c r="B14" s="14" t="s">
        <v>173</v>
      </c>
      <c r="C14" s="14"/>
      <c r="D14" s="14"/>
      <c r="E14" s="14"/>
      <c r="F14" s="14"/>
      <c r="G14" s="14"/>
      <c r="H14" s="14"/>
    </row>
    <row r="15" customFormat="false" ht="21" hidden="false" customHeight="true" outlineLevel="0" collapsed="false">
      <c r="B15" s="60" t="s">
        <v>174</v>
      </c>
      <c r="C15" s="60"/>
      <c r="D15" s="60"/>
      <c r="E15" s="60"/>
      <c r="F15" s="60"/>
      <c r="G15" s="60"/>
      <c r="H15" s="60"/>
    </row>
  </sheetData>
  <mergeCells count="4">
    <mergeCell ref="A1:H1"/>
    <mergeCell ref="A2:H2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2026-07-27T07:13:03Z</dcterms:created>
  <dc:creator>openpyxl</dc:creator>
  <dc:description/>
  <dc:language>en-US</dc:language>
  <cp:lastModifiedBy/>
  <dcterms:modified xsi:type="dcterms:W3CDTF">2026-07-31T10:26:53Z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