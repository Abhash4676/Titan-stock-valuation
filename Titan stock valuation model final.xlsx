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has\Downloads\"/>
    </mc:Choice>
  </mc:AlternateContent>
  <xr:revisionPtr revIDLastSave="0" documentId="13_ncr:1_{856103F4-D888-487A-BE57-B6401123CD14}" xr6:coauthVersionLast="47" xr6:coauthVersionMax="47" xr10:uidLastSave="{00000000-0000-0000-0000-000000000000}"/>
  <bookViews>
    <workbookView xWindow="-110" yWindow="-110" windowWidth="19420" windowHeight="11500" tabRatio="500" firstSheet="4" activeTab="6" xr2:uid="{00000000-000D-0000-FFFF-FFFF00000000}"/>
  </bookViews>
  <sheets>
    <sheet name="Dashboard" sheetId="1" r:id="rId1"/>
    <sheet name="Inputs" sheetId="2" r:id="rId2"/>
    <sheet name="Historical Financials" sheetId="3" r:id="rId3"/>
    <sheet name="Forecast" sheetId="4" r:id="rId4"/>
    <sheet name="DCF Valuation" sheetId="5" r:id="rId5"/>
    <sheet name="Comparable Companies" sheetId="6" r:id="rId6"/>
    <sheet name="Sensitivity Analysi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7" l="1"/>
  <c r="G7" i="7" s="1"/>
  <c r="C21" i="6"/>
  <c r="C19" i="6"/>
  <c r="C14" i="6"/>
  <c r="C15" i="6" s="1"/>
  <c r="D9" i="6"/>
  <c r="C9" i="6"/>
  <c r="C38" i="5"/>
  <c r="C36" i="5"/>
  <c r="C34" i="5"/>
  <c r="C26" i="5"/>
  <c r="C10" i="5"/>
  <c r="C9" i="5"/>
  <c r="C6" i="5"/>
  <c r="G9" i="4"/>
  <c r="F9" i="4"/>
  <c r="E9" i="4"/>
  <c r="D9" i="4"/>
  <c r="C9" i="4"/>
  <c r="G7" i="4"/>
  <c r="F7" i="4"/>
  <c r="E7" i="4"/>
  <c r="D7" i="4"/>
  <c r="C7" i="4"/>
  <c r="G5" i="4"/>
  <c r="F5" i="4"/>
  <c r="E5" i="4"/>
  <c r="D5" i="4"/>
  <c r="C5" i="4"/>
  <c r="C6" i="4" s="1"/>
  <c r="G19" i="3"/>
  <c r="F19" i="3"/>
  <c r="E19" i="3"/>
  <c r="D19" i="3"/>
  <c r="C19" i="3"/>
  <c r="G17" i="3"/>
  <c r="F17" i="3"/>
  <c r="E17" i="3"/>
  <c r="D17" i="3"/>
  <c r="C17" i="3"/>
  <c r="G12" i="3"/>
  <c r="C17" i="6" s="1"/>
  <c r="C18" i="6" s="1"/>
  <c r="C20" i="6" s="1"/>
  <c r="C22" i="6" s="1"/>
  <c r="G10" i="3"/>
  <c r="F10" i="3"/>
  <c r="E10" i="3"/>
  <c r="D10" i="3"/>
  <c r="C10" i="3"/>
  <c r="G8" i="3"/>
  <c r="F8" i="3"/>
  <c r="F12" i="3" s="1"/>
  <c r="E8" i="3"/>
  <c r="E12" i="3" s="1"/>
  <c r="D8" i="3"/>
  <c r="D12" i="3" s="1"/>
  <c r="C8" i="3"/>
  <c r="C12" i="3" s="1"/>
  <c r="G6" i="3"/>
  <c r="F6" i="3"/>
  <c r="E6" i="3"/>
  <c r="D6" i="3"/>
  <c r="C34" i="2"/>
  <c r="C32" i="2"/>
  <c r="C13" i="2"/>
  <c r="C5" i="5" s="1"/>
  <c r="G22" i="1"/>
  <c r="F22" i="1"/>
  <c r="E22" i="1"/>
  <c r="D22" i="1"/>
  <c r="C22" i="1"/>
  <c r="E10" i="1"/>
  <c r="D10" i="1"/>
  <c r="C10" i="1"/>
  <c r="C5" i="1"/>
  <c r="C24" i="6" l="1"/>
  <c r="C12" i="1"/>
  <c r="E12" i="1"/>
  <c r="D12" i="1"/>
  <c r="E13" i="1"/>
  <c r="D13" i="1"/>
  <c r="C13" i="1"/>
  <c r="D6" i="4"/>
  <c r="C13" i="4"/>
  <c r="C8" i="4"/>
  <c r="C10" i="4" s="1"/>
  <c r="C11" i="4"/>
  <c r="C12" i="4"/>
  <c r="H22" i="1"/>
  <c r="C7" i="5"/>
  <c r="C11" i="5" s="1"/>
  <c r="C8" i="5"/>
  <c r="C7" i="7"/>
  <c r="D7" i="7"/>
  <c r="E7" i="7"/>
  <c r="F7" i="7"/>
  <c r="G19" i="5" l="1"/>
  <c r="C28" i="5" s="1"/>
  <c r="F19" i="5"/>
  <c r="E19" i="5"/>
  <c r="C19" i="5"/>
  <c r="C4" i="7"/>
  <c r="D19" i="5"/>
  <c r="E5" i="1"/>
  <c r="C14" i="4"/>
  <c r="C18" i="5" s="1"/>
  <c r="D13" i="4"/>
  <c r="D12" i="4"/>
  <c r="I22" i="1"/>
  <c r="D11" i="4"/>
  <c r="E6" i="4"/>
  <c r="D8" i="4"/>
  <c r="D10" i="4" s="1"/>
  <c r="D14" i="4" s="1"/>
  <c r="D18" i="5" s="1"/>
  <c r="D20" i="5" s="1"/>
  <c r="E13" i="4" l="1"/>
  <c r="E12" i="4"/>
  <c r="J22" i="1"/>
  <c r="E11" i="4"/>
  <c r="F6" i="4"/>
  <c r="E8" i="4"/>
  <c r="E10" i="4" s="1"/>
  <c r="E14" i="4" s="1"/>
  <c r="E18" i="5" s="1"/>
  <c r="E20" i="5" s="1"/>
  <c r="C20" i="5"/>
  <c r="B12" i="7"/>
  <c r="B9" i="7"/>
  <c r="B11" i="7"/>
  <c r="B8" i="7"/>
  <c r="B10" i="7"/>
  <c r="F12" i="4" l="1"/>
  <c r="K22" i="1"/>
  <c r="F8" i="4"/>
  <c r="F10" i="4" s="1"/>
  <c r="F11" i="4"/>
  <c r="G6" i="4"/>
  <c r="F13" i="4"/>
  <c r="G12" i="4" l="1"/>
  <c r="L22" i="1"/>
  <c r="G8" i="4"/>
  <c r="G10" i="4" s="1"/>
  <c r="G13" i="4"/>
  <c r="G11" i="4"/>
  <c r="F14" i="4"/>
  <c r="F18" i="5" s="1"/>
  <c r="F20" i="5" l="1"/>
  <c r="F8" i="7"/>
  <c r="F11" i="7"/>
  <c r="G8" i="7"/>
  <c r="G11" i="7"/>
  <c r="C9" i="7"/>
  <c r="D8" i="7"/>
  <c r="C12" i="7"/>
  <c r="G9" i="7"/>
  <c r="G10" i="7"/>
  <c r="D9" i="7"/>
  <c r="G14" i="4"/>
  <c r="G18" i="5" s="1"/>
  <c r="C25" i="5" l="1"/>
  <c r="C27" i="5" s="1"/>
  <c r="C29" i="5" s="1"/>
  <c r="G20" i="5"/>
  <c r="C22" i="5" s="1"/>
  <c r="C32" i="5" s="1"/>
  <c r="C35" i="5" s="1"/>
  <c r="C37" i="5" s="1"/>
  <c r="F10" i="7"/>
  <c r="F12" i="7"/>
  <c r="E10" i="7"/>
  <c r="E11" i="7"/>
  <c r="F9" i="7"/>
  <c r="E9" i="7"/>
  <c r="G12" i="7"/>
  <c r="D11" i="7"/>
  <c r="C11" i="7"/>
  <c r="D12" i="7"/>
  <c r="E12" i="7"/>
  <c r="D10" i="7"/>
  <c r="E8" i="7"/>
  <c r="C8" i="7"/>
  <c r="C10" i="7"/>
  <c r="D11" i="1" l="1"/>
  <c r="C39" i="5"/>
  <c r="D5" i="1" s="1"/>
  <c r="B5" i="1"/>
  <c r="E11" i="1"/>
  <c r="C11" i="1"/>
  <c r="C33" i="5"/>
  <c r="F5" i="1" s="1"/>
</calcChain>
</file>

<file path=xl/sharedStrings.xml><?xml version="1.0" encoding="utf-8"?>
<sst xmlns="http://schemas.openxmlformats.org/spreadsheetml/2006/main" count="206" uniqueCount="175">
  <si>
    <t>TITAN COMPANY LIMITED — STOCK VALUATION DASHBOARD</t>
  </si>
  <si>
    <t>DCF + Relative Valuation Summary | Valuation date 27-Jul-2026</t>
  </si>
  <si>
    <t>INTRINSIC VALUE / SHARE</t>
  </si>
  <si>
    <t>CURRENT SHARE PRICE</t>
  </si>
  <si>
    <t>IMPLIED UPSIDE</t>
  </si>
  <si>
    <t>WACC</t>
  </si>
  <si>
    <t>TV % OF EV</t>
  </si>
  <si>
    <t>vs current price (below)</t>
  </si>
  <si>
    <t>NSE, 27-Jul-2026</t>
  </si>
  <si>
    <t>DCF base case</t>
  </si>
  <si>
    <t>CAPM-based</t>
  </si>
  <si>
    <t>Gordon growth</t>
  </si>
  <si>
    <t>VALUATION FOOTBALL FIELD</t>
  </si>
  <si>
    <t>Method</t>
  </si>
  <si>
    <t>Low (Rs)</t>
  </si>
  <si>
    <t>Value (Rs)</t>
  </si>
  <si>
    <t>High (Rs)</t>
  </si>
  <si>
    <t>Current Market Price</t>
  </si>
  <si>
    <t>DCF - Sensitivity Range</t>
  </si>
  <si>
    <t>Comps - P/E Multiple</t>
  </si>
  <si>
    <t>Comps - EV/EBITDA Multiple</t>
  </si>
  <si>
    <t>Football-field chart (right) plots the Value column for each method against the current market price, with the DCF row also showing its full sensitivity range as error bars via Low/High.</t>
  </si>
  <si>
    <t>READING THIS VALUATION</t>
  </si>
  <si>
    <t>Titan trades at roughly a 90x trailing P/E (Rs 4,698 price vs ~Rs 52 TTM EPS) - far above both the DCF intrinsic value and the peer-comps range shown below. That gap is not a modelling error: the market is pricing in a multi-decade compounding growth story (India's organised-jewellery penetration is still low, and Titan is the category leader with pricing power, brand trust, and store-network runway) that a 5-year explicit DCF horizon and a 5% terminal growth rate cannot capture. Treat this the way an equity research desk would treat question 'Your DCF says -80%, do you trust it?' - stress-test a much longer explicit high-growth period, a higher terminal growth rate, or a terminal EV/EBITDA exit multiple instead of Gordon Growth, and compare the result to what the current price implies (a reverse-DCF exercise) before drawing any conclusion about over- or under-valuation.</t>
  </si>
  <si>
    <t>5-YEAR REVENUE TREND: HISTORICAL + FORECAST</t>
  </si>
  <si>
    <t>Year</t>
  </si>
  <si>
    <t>FY21</t>
  </si>
  <si>
    <t>FY22</t>
  </si>
  <si>
    <t>FY23</t>
  </si>
  <si>
    <t>FY24</t>
  </si>
  <si>
    <t>FY25</t>
  </si>
  <si>
    <t>FY26E</t>
  </si>
  <si>
    <t>FY27E</t>
  </si>
  <si>
    <t>FY28E</t>
  </si>
  <si>
    <t>FY29E</t>
  </si>
  <si>
    <t>FY30E</t>
  </si>
  <si>
    <t>Revenue (Rs Cr)</t>
  </si>
  <si>
    <t>All KPI cards and charts are live formulas referencing the Inputs, Historical, Forecast, DCF, Comps, and Sensitivity sheets - change any blue input cell anywhere in the workbook and this dashboard recalculates end to end.</t>
  </si>
  <si>
    <t>Charts are embedded directly in this Dashboard sheet (Football Field on the left, Revenue Trend on the right) so they travel with the workbook - no separate chart sheet to lose track of.</t>
  </si>
  <si>
    <t>STOCK VALUATION MODEL — INPUTS &amp; ASSUMPTIONS</t>
  </si>
  <si>
    <t>Titan Company Limited (NSE: TITAN | BSE: 500114)  |  DCF + Relative Valuation  |  All figures in Rs Crore unless stated</t>
  </si>
  <si>
    <t>1. COMPANY SNAPSHOT</t>
  </si>
  <si>
    <t>Company Name</t>
  </si>
  <si>
    <t>Titan Company Limited</t>
  </si>
  <si>
    <t>Ticker</t>
  </si>
  <si>
    <t>NSE: TITAN | BSE: 500114</t>
  </si>
  <si>
    <t>Sector / Industry</t>
  </si>
  <si>
    <t>Consumer Discretionary - Jewellery, Watches &amp; Eyewear</t>
  </si>
  <si>
    <t>Valuation Date</t>
  </si>
  <si>
    <t>27-Jul-2026</t>
  </si>
  <si>
    <t>Reporting Currency</t>
  </si>
  <si>
    <t>INR Crore (Rs Cr) - per-share figures in Rs</t>
  </si>
  <si>
    <t>Current Share Price (Rs)</t>
  </si>
  <si>
    <t>Shares Outstanding (Cr)</t>
  </si>
  <si>
    <t>Market Capitalisation (Rs Cr)</t>
  </si>
  <si>
    <t>Source: NSE closing price via Google Finance / Kotak Neo, 27-Jul-2026 (Rs 4,698.20; market cap Rs 4,15,218 Cr). Shares outstanding implied from market cap divided by price (Kotak Neo / Business Standard, Jul-2026).</t>
  </si>
  <si>
    <t>2. FORECAST DRIVER ASSUMPTIONS (FY26E-FY30E)</t>
  </si>
  <si>
    <t>Driver</t>
  </si>
  <si>
    <t>Revenue Growth %</t>
  </si>
  <si>
    <t>EBIT Margin %</t>
  </si>
  <si>
    <t>D&amp;A (% of Revenue)</t>
  </si>
  <si>
    <t>Capex (% of Revenue)</t>
  </si>
  <si>
    <t>Incr. NWC (% of Delta Revenue)</t>
  </si>
  <si>
    <t>Effective Tax Rate %</t>
  </si>
  <si>
    <t>One flat rate applied across all forecast years</t>
  </si>
  <si>
    <t>Revenue growth tapers from a still-strong 15.0% toward an 11.0% long-run rate as the jewellery/watches franchise matures; EBIT margin normalises modestly toward Titan's historical 11%-11.5% range. NWC is a much larger share of incremental revenue than a services business (20%) because gold jewellery inventory is capital-intensive. These are illustrative forecasting assumptions for this exercise, not company guidance or analyst consensus - flex them and watch the DCF output move.</t>
  </si>
  <si>
    <t>3. WACC - COST OF CAPITAL (CAPM)</t>
  </si>
  <si>
    <t>Risk-Free Rate (10Y India G-Sec)</t>
  </si>
  <si>
    <t>Beta (5Y regression vs NIFTY 50)</t>
  </si>
  <si>
    <t>Equity Risk Premium (India)</t>
  </si>
  <si>
    <t>Cost of Equity (Ke) = Rf + Beta x ERP</t>
  </si>
  <si>
    <t>Pre-tax Cost of Debt (Kd)</t>
  </si>
  <si>
    <t>After-tax Cost of Debt = Kd x (1-t)</t>
  </si>
  <si>
    <t>Beta of 0.90 reflects Titan's consumer-discretionary, premium-valuation profile - higher than an export-linked IT services business. Kd approximates the cost of gold-metal-loan and lease financing Titan uses to fund jewellery inventory, since the company carries modest net debt (unlike an asset-light IT major).</t>
  </si>
  <si>
    <t>4. TERMINAL VALUE ASSUMPTION</t>
  </si>
  <si>
    <t>Terminal Growth Rate (g)</t>
  </si>
  <si>
    <t>Set at/below long-run nominal India GDP growth, consistent with the Gordon Growth assumption that no firm outgrows the economy forever.</t>
  </si>
  <si>
    <t>COLOUR LEGEND</t>
  </si>
  <si>
    <t>Blue text</t>
  </si>
  <si>
    <t>Hardcoded input - UNLOCKED, safe to edit to flex the model</t>
  </si>
  <si>
    <t>Black text</t>
  </si>
  <si>
    <t>Formula - LOCKED, protected from accidental edits</t>
  </si>
  <si>
    <t>Green text</t>
  </si>
  <si>
    <t>Link pulling a value from another sheet - LOCKED</t>
  </si>
  <si>
    <t>This workbook is sheet-protected (no password) so formulas can't be broken by accident. Only blue cells are unlocked. In Excel: Review &gt; Unprotect Sheet to make further structural changes.</t>
  </si>
  <si>
    <t>HISTORICAL FINANCIALS — FY21-FY25 (Rs Crore, Consolidated)</t>
  </si>
  <si>
    <t>Titan Company Limited | Consolidated results</t>
  </si>
  <si>
    <t>Rs Crore unless noted</t>
  </si>
  <si>
    <t>Revenue</t>
  </si>
  <si>
    <t>n.a.</t>
  </si>
  <si>
    <t>EBIT Margin % (operating margin)</t>
  </si>
  <si>
    <t>EBIT</t>
  </si>
  <si>
    <t>Net Income (reported)</t>
  </si>
  <si>
    <t>Net Margin %</t>
  </si>
  <si>
    <t>D&amp;A</t>
  </si>
  <si>
    <t>EBITDA</t>
  </si>
  <si>
    <t>Capex</t>
  </si>
  <si>
    <t>Increase in NWC</t>
  </si>
  <si>
    <t>Total Debt (gold metal loans + leases)</t>
  </si>
  <si>
    <t>Cash &amp; Investments</t>
  </si>
  <si>
    <t>Net Debt / (Net Cash)</t>
  </si>
  <si>
    <t>EPS (Rs)</t>
  </si>
  <si>
    <t>DATA SOURCES &amp; NOTES</t>
  </si>
  <si>
    <t>Revenue and Net Income for FY21, FY24 and FY25 are Titan's reported consolidated Sales and Net Profit (Business Standard capital-market reports of Titan's board-approved results, and Screener.in consolidated financials, accessed Jul-2026): FY21 Rs 20,088 Cr / Rs 973 Cr; FY24 Rs 46,751 Cr / Rs 3,496 Cr; FY25 Rs 57,143 Cr / Rs 3,337 Cr (FY25 profit dipped versus FY24 due to the customs-duty cut on gold compressing margins, as flagged in Titan's own results commentary).</t>
  </si>
  <si>
    <t>FY22 and FY23 Revenue/Net Income are approximated from the company's known post-pandemic recovery trajectory between the confirmed FY21 and FY24 anchors - treat as directional, not exact, and replace with the audited FY22/FY23 Annual Report figures for a production-grade model.</t>
  </si>
  <si>
    <t>EBIT Margin (operating margin): FY21 and FY24/FY25 approximate Titan's reported OPM (~12.25% FY21 standalone proxy, 11.32% FY24, 9.96% FY25 per Business Standard capital-market commentary); FY22/FY23 are smoothed/interpolated between these anchors.</t>
  </si>
  <si>
    <t>D&amp;A, Capex, Increase in NWC, Total Debt, Cash &amp; Investments: not individually itemised in the summary press releases used for this project - estimated at typical proportions for a jewellery/watches retailer (inventory-heavy NWC, moderate lease and gold-metal-loan debt). Replace with exact cash-flow-statement and balance-sheet figures from the Titan Annual Report for a production-grade model.</t>
  </si>
  <si>
    <t>5-YEAR DRIVER-BASED FORECAST — FY26E-FY30E (Rs Crore)</t>
  </si>
  <si>
    <t>Titan Company Limited | Revenue and margins driven by Inputs sheet assumptions</t>
  </si>
  <si>
    <t>Revenue Growth % (from Inputs)</t>
  </si>
  <si>
    <t>EBIT Margin % (from Inputs)</t>
  </si>
  <si>
    <t>Tax Rate % (from Inputs)</t>
  </si>
  <si>
    <t>NOPAT = EBIT x (1-tax)</t>
  </si>
  <si>
    <t>(+) D&amp;A</t>
  </si>
  <si>
    <t>(-) Capex</t>
  </si>
  <si>
    <t>(-) Increase in NWC</t>
  </si>
  <si>
    <t>FREE CASH FLOW TO FIRM (FCFF)</t>
  </si>
  <si>
    <t>FCFF = NOPAT + D&amp;A - Capex - Increase in NWC. Every driver traces back to the Inputs sheet, so changing a single blue assumption cell reflows the entire forecast, DCF, and Sensitivity output.</t>
  </si>
  <si>
    <t>DCF VALUATION — ENTERPRISE VALUE TO INTRINSIC VALUE PER SHARE</t>
  </si>
  <si>
    <t>Titan Company Limited | Discounted Cash Flow (FCFF), WACC via CAPM, Gordon Growth terminal value</t>
  </si>
  <si>
    <t>1. WACC BUILD-UP (MARKET-VALUE WEIGHTS)</t>
  </si>
  <si>
    <t>Market Value of Equity (Rs Cr)</t>
  </si>
  <si>
    <t>Market Value of Debt (Rs Cr, FY25 total debt)</t>
  </si>
  <si>
    <t>Weight of Equity We = E/(D+E)</t>
  </si>
  <si>
    <t>Weight of Debt Wd = D/(D+E)</t>
  </si>
  <si>
    <t>Cost of Equity (Ke)</t>
  </si>
  <si>
    <t>After-tax Cost of Debt (Kd)</t>
  </si>
  <si>
    <t>WACC = We x Ke + Wd x Kd(1-t)</t>
  </si>
  <si>
    <t>Unlike an asset-light IT major, Titan carries meaningful working-capital debt (gold metal loans) to fund jewellery inventory, so its debt weight - while still small next to its market capitalisation - is non-trivial and modestly pulls WACC below the pure cost of equity.</t>
  </si>
  <si>
    <t>2. FREE CASH FLOW DISCOUNTING</t>
  </si>
  <si>
    <t>Forecast Year n</t>
  </si>
  <si>
    <t>FCFF (from Forecast sheet)</t>
  </si>
  <si>
    <t>Discount Factor = 1/(1+WACC)^n</t>
  </si>
  <si>
    <t>PV of FCFF</t>
  </si>
  <si>
    <t>Sum of PV of Explicit FCFF (Yr 1-5)</t>
  </si>
  <si>
    <t>3. TERMINAL VALUE (GORDON GROWTH)</t>
  </si>
  <si>
    <t>Final-Year FCFF (FY30E)</t>
  </si>
  <si>
    <t>Terminal Value = FCFF x (1+g) / (WACC-g)</t>
  </si>
  <si>
    <t>Discount Factor (Year 5)</t>
  </si>
  <si>
    <t>PV of Terminal Value</t>
  </si>
  <si>
    <t>4. ENTERPRISE VALUE TO INTRINSIC VALUE PER SHARE</t>
  </si>
  <si>
    <t>Enterprise Value = Sum PV(FCFF) + PV(TV)</t>
  </si>
  <si>
    <t>TV as % of Enterprise Value</t>
  </si>
  <si>
    <t>(-) Net Debt / (+) Net Cash (FY25)</t>
  </si>
  <si>
    <t>Equity Value = EV - Net Debt</t>
  </si>
  <si>
    <t>INTRINSIC VALUE PER SHARE (Rs)</t>
  </si>
  <si>
    <t>IMPLIED UPSIDE / (DOWNSIDE) %</t>
  </si>
  <si>
    <t>Cross-check: TV should typically fall in a 60-80% band of Enterprise Value for a mature, moderate-growth company - if it is far outside that range, revisit the growth/margin taper or the WACC-g spread. For a structural-growth consumer story like Titan, also compare against the 'Reading This Valuation' note on the Dashboard before concluding the stock is mispriced.</t>
  </si>
  <si>
    <t>RELATIVE VALUATION — PEER P/E &amp; EV/EBITDA COMPS</t>
  </si>
  <si>
    <t>Indian organised-jewellery retail peer set | Trailing multiples, Jul-2026</t>
  </si>
  <si>
    <t>Company</t>
  </si>
  <si>
    <t>P/E (TTM)</t>
  </si>
  <si>
    <t>EV/EBITDA</t>
  </si>
  <si>
    <t>Kalyan Jewellers</t>
  </si>
  <si>
    <t>Senco Gold</t>
  </si>
  <si>
    <t>Thangamayil Jewellery</t>
  </si>
  <si>
    <t>PC Jeweller</t>
  </si>
  <si>
    <t>Median (peer set)</t>
  </si>
  <si>
    <t>P/E and EV/EBITDA are approximate trailing multiples compiled from public market-data sites (TipRanks, MarketScreener, ValueResearch, Upstox) in Jul-2026; treat as illustrative comps rather than a precise, single-day snapshot. Refresh from Screener.in or stockanalysis.com before relying on this for a live decision.</t>
  </si>
  <si>
    <t>APPLY TO TITAN COMPANY LIMITED</t>
  </si>
  <si>
    <t>FY25 EPS (Rs)</t>
  </si>
  <si>
    <t>Implied Value / Share via P/E</t>
  </si>
  <si>
    <t>FY25 EBITDA (Rs Cr)</t>
  </si>
  <si>
    <t>Implied EV via EV/EBITDA</t>
  </si>
  <si>
    <t>Implied Equity Value</t>
  </si>
  <si>
    <t>Implied Value / Share via EV/EBITDA</t>
  </si>
  <si>
    <t>Average Relative-Valuation Estimate</t>
  </si>
  <si>
    <t>Cross-check the DCF against these comps: a DCF far outside the peer-implied range signals an assumption (usually WACC or terminal growth) worth revisiting, not necessarily a mispriced stock.</t>
  </si>
  <si>
    <t>TWO-WAY SENSITIVITY — WACC x TERMINAL GROWTH (Rs / Share)</t>
  </si>
  <si>
    <t>Titan Company Limited | Intrinsic value per share across a WACC and terminal-growth grid, fully formula-driven</t>
  </si>
  <si>
    <t>Base WACC</t>
  </si>
  <si>
    <t>Base Terminal Growth (g)</t>
  </si>
  <si>
    <t>Value / Share (Rs)</t>
  </si>
  <si>
    <t>Rows = WACC (base +/- 1.0%/0.5%); Columns = terminal growth g (base +/- 1.0%/0.5%). Each cell independently recomputes PV(FCFF) + PV(Terminal Value), less net debt, over shares outstanding - so the whole grid updates automatically if any Inputs-sheet assumption changes. The highlighted centre cell reproduces the DCF Valuation sheet's headline intrinsic value per share.</t>
  </si>
  <si>
    <t>Row label = WACC (%) | Column header = Terminal growth g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</si>
</sst>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;\-"/>
    <numFmt numFmtId="165" formatCode="0.0%;\(0.0%\);\-"/>
    <numFmt numFmtId="166" formatCode="0.00%;\(0.00%\);\-"/>
    <numFmt numFmtId="167" formatCode="#,##0;\(#,##0\);\-"/>
    <numFmt numFmtId="168" formatCode="#,##0.0"/>
    <numFmt numFmtId="169" formatCode="0.0000"/>
    <numFmt numFmtId="170" formatCode="0.00\x"/>
  </numFmts>
  <fonts count="17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b/>
      <sz val="8"/>
      <color rgb="FFFFFFFF"/>
      <name val="Calibri"/>
      <charset val="1"/>
    </font>
    <font>
      <b/>
      <sz val="16"/>
      <color rgb="FF1F3864"/>
      <name val="Calibri"/>
      <charset val="1"/>
    </font>
    <font>
      <i/>
      <sz val="8"/>
      <color rgb="FF7F7F7F"/>
      <name val="Calibri"/>
      <charset val="1"/>
    </font>
    <font>
      <b/>
      <sz val="12"/>
      <color rgb="FFFFFFFF"/>
      <name val="Calibri"/>
      <charset val="1"/>
    </font>
    <font>
      <b/>
      <sz val="10"/>
      <color rgb="FFFFFFFF"/>
      <name val="Calibri"/>
      <charset val="1"/>
    </font>
    <font>
      <sz val="10"/>
      <color rgb="FF000000"/>
      <name val="Calibri"/>
      <charset val="1"/>
    </font>
    <font>
      <sz val="10"/>
      <color rgb="FF008000"/>
      <name val="Calibri"/>
      <charset val="1"/>
    </font>
    <font>
      <sz val="10"/>
      <color rgb="FF0000FF"/>
      <name val="Calibri"/>
      <charset val="1"/>
    </font>
    <font>
      <b/>
      <sz val="10"/>
      <color rgb="FF000000"/>
      <name val="Calibri"/>
      <charset val="1"/>
    </font>
    <font>
      <b/>
      <sz val="11"/>
      <color rgb="FF1F3864"/>
      <name val="Calibri"/>
      <charset val="1"/>
    </font>
    <font>
      <b/>
      <i/>
      <sz val="10"/>
      <color rgb="FF7F7F7F"/>
      <name val="Calibri"/>
      <family val="2"/>
    </font>
    <font>
      <b/>
      <i/>
      <sz val="10"/>
      <color rgb="FF595959"/>
      <name val="Calibri"/>
      <family val="2"/>
    </font>
    <font>
      <b/>
      <i/>
      <sz val="8"/>
      <color rgb="FF7F7F7F"/>
      <name val="Calibri"/>
      <family val="2"/>
    </font>
    <font>
      <b/>
      <sz val="10"/>
      <color theme="1"/>
      <name val="Calibri"/>
      <family val="2"/>
    </font>
    <font>
      <b/>
      <i/>
      <sz val="9"/>
      <color rgb="FF7F7F7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D9E2F3"/>
        <bgColor rgb="FFD9D9D9"/>
      </patternFill>
    </fill>
    <fill>
      <patternFill patternType="solid">
        <fgColor rgb="FF4472C4"/>
        <bgColor rgb="FF4F81BD"/>
      </patternFill>
    </fill>
    <fill>
      <patternFill patternType="solid">
        <fgColor rgb="FFFFF2CC"/>
        <bgColor rgb="FFF9F9F9"/>
      </patternFill>
    </fill>
    <fill>
      <patternFill patternType="solid">
        <fgColor theme="0"/>
        <bgColor rgb="FF1F3864"/>
      </patternFill>
    </fill>
    <fill>
      <patternFill patternType="solid">
        <fgColor theme="0"/>
        <bgColor rgb="FF33333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4" fillId="0" borderId="0" xfId="0" applyFont="1"/>
    <xf numFmtId="0" fontId="9" fillId="0" borderId="0" xfId="0" applyFont="1" applyProtection="1">
      <protection locked="0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 wrapText="1"/>
    </xf>
    <xf numFmtId="164" fontId="3" fillId="4" borderId="0" xfId="0" applyNumberFormat="1" applyFont="1" applyFill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166" fontId="3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0" borderId="1" xfId="0" applyFont="1" applyBorder="1"/>
    <xf numFmtId="164" fontId="7" fillId="0" borderId="1" xfId="0" applyNumberFormat="1" applyFont="1" applyBorder="1"/>
    <xf numFmtId="0" fontId="7" fillId="0" borderId="0" xfId="0" applyFont="1"/>
    <xf numFmtId="167" fontId="8" fillId="0" borderId="1" xfId="0" applyNumberFormat="1" applyFont="1" applyBorder="1"/>
    <xf numFmtId="0" fontId="10" fillId="0" borderId="0" xfId="0" applyFont="1"/>
    <xf numFmtId="164" fontId="9" fillId="0" borderId="1" xfId="0" applyNumberFormat="1" applyFont="1" applyBorder="1" applyProtection="1">
      <protection locked="0"/>
    </xf>
    <xf numFmtId="168" fontId="9" fillId="0" borderId="1" xfId="0" applyNumberFormat="1" applyFont="1" applyBorder="1" applyProtection="1">
      <protection locked="0"/>
    </xf>
    <xf numFmtId="167" fontId="7" fillId="0" borderId="1" xfId="0" applyNumberFormat="1" applyFont="1" applyBorder="1"/>
    <xf numFmtId="165" fontId="9" fillId="0" borderId="1" xfId="0" applyNumberFormat="1" applyFont="1" applyBorder="1" applyProtection="1">
      <protection locked="0"/>
    </xf>
    <xf numFmtId="2" fontId="9" fillId="0" borderId="1" xfId="0" applyNumberFormat="1" applyFont="1" applyBorder="1" applyProtection="1">
      <protection locked="0"/>
    </xf>
    <xf numFmtId="166" fontId="7" fillId="0" borderId="1" xfId="0" applyNumberFormat="1" applyFont="1" applyBorder="1"/>
    <xf numFmtId="0" fontId="9" fillId="0" borderId="0" xfId="0" applyFont="1"/>
    <xf numFmtId="0" fontId="8" fillId="0" borderId="0" xfId="0" applyFont="1"/>
    <xf numFmtId="167" fontId="9" fillId="0" borderId="1" xfId="0" applyNumberFormat="1" applyFont="1" applyBorder="1" applyProtection="1">
      <protection locked="0"/>
    </xf>
    <xf numFmtId="165" fontId="7" fillId="0" borderId="1" xfId="0" applyNumberFormat="1" applyFont="1" applyBorder="1"/>
    <xf numFmtId="165" fontId="8" fillId="0" borderId="1" xfId="0" applyNumberFormat="1" applyFont="1" applyBorder="1"/>
    <xf numFmtId="167" fontId="11" fillId="6" borderId="1" xfId="0" applyNumberFormat="1" applyFont="1" applyFill="1" applyBorder="1"/>
    <xf numFmtId="166" fontId="8" fillId="0" borderId="1" xfId="0" applyNumberFormat="1" applyFont="1" applyBorder="1"/>
    <xf numFmtId="166" fontId="11" fillId="6" borderId="1" xfId="0" applyNumberFormat="1" applyFont="1" applyFill="1" applyBorder="1"/>
    <xf numFmtId="169" fontId="7" fillId="0" borderId="1" xfId="0" applyNumberFormat="1" applyFont="1" applyBorder="1"/>
    <xf numFmtId="167" fontId="11" fillId="0" borderId="1" xfId="0" applyNumberFormat="1" applyFont="1" applyBorder="1"/>
    <xf numFmtId="168" fontId="8" fillId="0" borderId="1" xfId="0" applyNumberFormat="1" applyFont="1" applyBorder="1"/>
    <xf numFmtId="164" fontId="11" fillId="6" borderId="1" xfId="0" applyNumberFormat="1" applyFont="1" applyFill="1" applyBorder="1"/>
    <xf numFmtId="164" fontId="8" fillId="0" borderId="1" xfId="0" applyNumberFormat="1" applyFont="1" applyBorder="1"/>
    <xf numFmtId="165" fontId="11" fillId="6" borderId="1" xfId="0" applyNumberFormat="1" applyFont="1" applyFill="1" applyBorder="1"/>
    <xf numFmtId="170" fontId="9" fillId="0" borderId="1" xfId="0" applyNumberFormat="1" applyFont="1" applyBorder="1" applyProtection="1">
      <protection locked="0"/>
    </xf>
    <xf numFmtId="170" fontId="11" fillId="0" borderId="1" xfId="0" applyNumberFormat="1" applyFont="1" applyBorder="1"/>
    <xf numFmtId="0" fontId="6" fillId="5" borderId="0" xfId="0" applyFont="1" applyFill="1"/>
    <xf numFmtId="165" fontId="6" fillId="5" borderId="0" xfId="0" applyNumberFormat="1" applyFont="1" applyFill="1" applyAlignment="1">
      <alignment horizontal="center"/>
    </xf>
    <xf numFmtId="166" fontId="6" fillId="5" borderId="0" xfId="0" applyNumberFormat="1" applyFont="1" applyFill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0" fontId="7" fillId="0" borderId="2" xfId="0" applyFont="1" applyBorder="1"/>
    <xf numFmtId="167" fontId="8" fillId="0" borderId="2" xfId="0" applyNumberFormat="1" applyFont="1" applyBorder="1"/>
    <xf numFmtId="0" fontId="7" fillId="0" borderId="1" xfId="0" applyFont="1" applyBorder="1" applyAlignment="1">
      <alignment horizontal="left" indent="7"/>
    </xf>
    <xf numFmtId="0" fontId="5" fillId="7" borderId="0" xfId="0" applyFont="1" applyFill="1" applyAlignment="1">
      <alignment horizontal="left" vertical="center" indent="2"/>
    </xf>
    <xf numFmtId="0" fontId="5" fillId="3" borderId="0" xfId="0" applyFont="1" applyFill="1" applyAlignment="1">
      <alignment horizontal="left" vertical="center" indent="4"/>
    </xf>
    <xf numFmtId="0" fontId="5" fillId="3" borderId="0" xfId="0" applyFont="1" applyFill="1" applyAlignment="1">
      <alignment horizontal="left" vertical="center" indent="6"/>
    </xf>
    <xf numFmtId="0" fontId="12" fillId="0" borderId="0" xfId="0" applyFont="1" applyAlignment="1">
      <alignment vertical="top" wrapText="1"/>
    </xf>
    <xf numFmtId="0" fontId="13" fillId="0" borderId="0" xfId="0" applyFont="1" applyAlignment="1">
      <alignment horizontal="left" indent="2"/>
    </xf>
    <xf numFmtId="0" fontId="13" fillId="0" borderId="0" xfId="0" applyFont="1"/>
    <xf numFmtId="0" fontId="14" fillId="0" borderId="0" xfId="0" applyFont="1" applyAlignment="1">
      <alignment vertical="top" wrapText="1"/>
    </xf>
    <xf numFmtId="0" fontId="13" fillId="0" borderId="0" xfId="0" applyFont="1" applyAlignment="1">
      <alignment horizontal="left" indent="1"/>
    </xf>
    <xf numFmtId="0" fontId="1" fillId="2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/>
    <xf numFmtId="0" fontId="15" fillId="0" borderId="0" xfId="0" applyFont="1"/>
    <xf numFmtId="0" fontId="12" fillId="0" borderId="0" xfId="0" applyFont="1" applyAlignment="1">
      <alignment vertical="top" wrapText="1"/>
    </xf>
    <xf numFmtId="0" fontId="1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E4441"/>
      <rgbColor rgb="FFB84845"/>
      <rgbColor rgb="FF008080"/>
      <rgbColor rgb="FFBFBFBF"/>
      <rgbColor rgb="FF7F7F7F"/>
      <rgbColor rgb="FF9999FF"/>
      <rgbColor rgb="FF923937"/>
      <rgbColor rgb="FFFFF2CC"/>
      <rgbColor rgb="FFD9E2F3"/>
      <rgbColor rgb="FF660066"/>
      <rgbColor rgb="FFCB8483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D29F9E"/>
      <rgbColor rgb="FFDAB3B3"/>
      <rgbColor rgb="FFE1C6C6"/>
      <rgbColor rgb="FF4472C4"/>
      <rgbColor rgb="FF33CCCC"/>
      <rgbColor rgb="FF99CC00"/>
      <rgbColor rgb="FFFFCC00"/>
      <rgbColor rgb="FFFF9900"/>
      <rgbColor rgb="FFC16361"/>
      <rgbColor rgb="FF595959"/>
      <rgbColor rgb="FF878787"/>
      <rgbColor rgb="FF1F3864"/>
      <rgbColor rgb="FF4F81BD"/>
      <rgbColor rgb="FF003300"/>
      <rgbColor rgb="FF333300"/>
      <rgbColor rgb="FF833331"/>
      <rgbColor rgb="FFA03F3D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Valuation Football Field (Rs / Share)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Dashboard!$D$9</c:f>
              <c:strCache>
                <c:ptCount val="1"/>
                <c:pt idx="0">
                  <c:v>Value (Rs)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Dashboard!$B$10:$B$13</c:f>
              <c:strCache>
                <c:ptCount val="4"/>
                <c:pt idx="0">
                  <c:v>Current Market Price</c:v>
                </c:pt>
                <c:pt idx="1">
                  <c:v>DCF - Sensitivity Range</c:v>
                </c:pt>
                <c:pt idx="2">
                  <c:v>Comps - P/E Multiple</c:v>
                </c:pt>
                <c:pt idx="3">
                  <c:v>Comps - EV/EBITDA Multiple</c:v>
                </c:pt>
              </c:strCache>
            </c:strRef>
          </c:cat>
          <c:val>
            <c:numRef>
              <c:f>Dashboard!$D$10:$D$13</c:f>
              <c:numCache>
                <c:formatCode>#,##0.00;\(#,##0.00\);\-</c:formatCode>
                <c:ptCount val="4"/>
                <c:pt idx="0">
                  <c:v>4698.2</c:v>
                </c:pt>
                <c:pt idx="1">
                  <c:v>784.87415026554777</c:v>
                </c:pt>
                <c:pt idx="2">
                  <c:v>1072.2040586245771</c:v>
                </c:pt>
                <c:pt idx="3">
                  <c:v>1153.5860744081172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E-4073-BB0E-7EA5ACD59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015677"/>
        <c:axId val="80164567"/>
      </c:barChart>
      <c:catAx>
        <c:axId val="3201567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Rs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164567"/>
        <c:crosses val="autoZero"/>
        <c:auto val="1"/>
        <c:lblAlgn val="ctr"/>
        <c:lblOffset val="100"/>
        <c:noMultiLvlLbl val="0"/>
      </c:catAx>
      <c:valAx>
        <c:axId val="8016456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(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0156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Trend: FY21 Actual -&gt; FY30E Forecast (Rs Cr)</a:t>
            </a:r>
          </a:p>
        </c:rich>
      </c:tx>
      <c:layout>
        <c:manualLayout>
          <c:xMode val="edge"/>
          <c:yMode val="edge"/>
          <c:x val="0.10679103320526667"/>
          <c:y val="2.2360893672776785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60683258149572"/>
          <c:y val="0.24182860082598565"/>
          <c:w val="0.67658878189133687"/>
          <c:h val="0.55260102131084188"/>
        </c:manualLayout>
      </c:layout>
      <c:lineChart>
        <c:grouping val="standard"/>
        <c:varyColors val="0"/>
        <c:ser>
          <c:idx val="0"/>
          <c:order val="0"/>
          <c:tx>
            <c:v>Revenue</c:v>
          </c:tx>
          <c:spPr>
            <a:ln w="47520">
              <a:solidFill>
                <a:srgbClr val="8333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Dashboard!$C$21:$L$21</c:f>
              <c:strCache>
                <c:ptCount val="10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  <c:pt idx="9">
                  <c:v>FY30E</c:v>
                </c:pt>
              </c:strCache>
            </c:strRef>
          </c:cat>
          <c:val>
            <c:numRef>
              <c:f>Dashboard!$C$22</c:f>
              <c:numCache>
                <c:formatCode>#,##0;\(#,##0\);\-</c:formatCode>
                <c:ptCount val="1"/>
                <c:pt idx="0">
                  <c:v>20088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F1-4E21-9250-A628B8C1C9BC}"/>
            </c:ext>
          </c:extLst>
        </c:ser>
        <c:ser>
          <c:idx val="1"/>
          <c:order val="1"/>
          <c:spPr>
            <a:ln w="4752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Dashboard!$C$21:$L$21</c:f>
              <c:strCache>
                <c:ptCount val="10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  <c:pt idx="9">
                  <c:v>FY30E</c:v>
                </c:pt>
              </c:strCache>
            </c:strRef>
          </c:cat>
          <c:val>
            <c:numRef>
              <c:f>Dashboard!$D$22</c:f>
              <c:numCache>
                <c:formatCode>#,##0;\(#,##0\);\-</c:formatCode>
                <c:ptCount val="1"/>
                <c:pt idx="0">
                  <c:v>27000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F1-4E21-9250-A628B8C1C9BC}"/>
            </c:ext>
          </c:extLst>
        </c:ser>
        <c:ser>
          <c:idx val="2"/>
          <c:order val="2"/>
          <c:spPr>
            <a:ln w="4752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Dashboard!$C$21:$L$21</c:f>
              <c:strCache>
                <c:ptCount val="10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  <c:pt idx="9">
                  <c:v>FY30E</c:v>
                </c:pt>
              </c:strCache>
            </c:strRef>
          </c:cat>
          <c:val>
            <c:numRef>
              <c:f>Dashboard!$E$22</c:f>
              <c:numCache>
                <c:formatCode>#,##0;\(#,##0\);\-</c:formatCode>
                <c:ptCount val="1"/>
                <c:pt idx="0">
                  <c:v>36150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AF1-4E21-9250-A628B8C1C9BC}"/>
            </c:ext>
          </c:extLst>
        </c:ser>
        <c:ser>
          <c:idx val="3"/>
          <c:order val="3"/>
          <c:spPr>
            <a:ln w="4752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Dashboard!$C$21:$L$21</c:f>
              <c:strCache>
                <c:ptCount val="10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  <c:pt idx="9">
                  <c:v>FY30E</c:v>
                </c:pt>
              </c:strCache>
            </c:strRef>
          </c:cat>
          <c:val>
            <c:numRef>
              <c:f>Dashboard!$F$22</c:f>
              <c:numCache>
                <c:formatCode>#,##0;\(#,##0\);\-</c:formatCode>
                <c:ptCount val="1"/>
                <c:pt idx="0">
                  <c:v>46751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AF1-4E21-9250-A628B8C1C9BC}"/>
            </c:ext>
          </c:extLst>
        </c:ser>
        <c:ser>
          <c:idx val="4"/>
          <c:order val="4"/>
          <c:spPr>
            <a:ln w="4752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Dashboard!$C$21:$L$21</c:f>
              <c:strCache>
                <c:ptCount val="10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  <c:pt idx="9">
                  <c:v>FY30E</c:v>
                </c:pt>
              </c:strCache>
            </c:strRef>
          </c:cat>
          <c:val>
            <c:numRef>
              <c:f>Dashboard!$G$22</c:f>
              <c:numCache>
                <c:formatCode>#,##0;\(#,##0\);\-</c:formatCode>
                <c:ptCount val="1"/>
                <c:pt idx="0">
                  <c:v>57143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AF1-4E21-9250-A628B8C1C9BC}"/>
            </c:ext>
          </c:extLst>
        </c:ser>
        <c:ser>
          <c:idx val="5"/>
          <c:order val="5"/>
          <c:spPr>
            <a:ln w="4752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Dashboard!$C$21:$L$21</c:f>
              <c:strCache>
                <c:ptCount val="10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  <c:pt idx="9">
                  <c:v>FY30E</c:v>
                </c:pt>
              </c:strCache>
            </c:strRef>
          </c:cat>
          <c:val>
            <c:numRef>
              <c:f>Dashboard!$H$22</c:f>
              <c:numCache>
                <c:formatCode>#,##0;\(#,##0\);\-</c:formatCode>
                <c:ptCount val="1"/>
                <c:pt idx="0">
                  <c:v>65714.45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2AF1-4E21-9250-A628B8C1C9BC}"/>
            </c:ext>
          </c:extLst>
        </c:ser>
        <c:ser>
          <c:idx val="6"/>
          <c:order val="6"/>
          <c:spPr>
            <a:ln w="4752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Dashboard!$C$21:$L$21</c:f>
              <c:strCache>
                <c:ptCount val="10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  <c:pt idx="9">
                  <c:v>FY30E</c:v>
                </c:pt>
              </c:strCache>
            </c:strRef>
          </c:cat>
          <c:val>
            <c:numRef>
              <c:f>Dashboard!$I$22</c:f>
              <c:numCache>
                <c:formatCode>#,##0;\(#,##0\);\-</c:formatCode>
                <c:ptCount val="1"/>
                <c:pt idx="0">
                  <c:v>74914.472999999998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2AF1-4E21-9250-A628B8C1C9BC}"/>
            </c:ext>
          </c:extLst>
        </c:ser>
        <c:ser>
          <c:idx val="7"/>
          <c:order val="7"/>
          <c:spPr>
            <a:ln w="4752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Dashboard!$C$21:$L$21</c:f>
              <c:strCache>
                <c:ptCount val="10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  <c:pt idx="9">
                  <c:v>FY30E</c:v>
                </c:pt>
              </c:strCache>
            </c:strRef>
          </c:cat>
          <c:val>
            <c:numRef>
              <c:f>Dashboard!$J$22</c:f>
              <c:numCache>
                <c:formatCode>#,##0;\(#,##0\);\-</c:formatCode>
                <c:ptCount val="1"/>
                <c:pt idx="0">
                  <c:v>84653.354489999983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2AF1-4E21-9250-A628B8C1C9BC}"/>
            </c:ext>
          </c:extLst>
        </c:ser>
        <c:ser>
          <c:idx val="8"/>
          <c:order val="8"/>
          <c:spPr>
            <a:ln w="4752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Dashboard!$C$21:$L$21</c:f>
              <c:strCache>
                <c:ptCount val="10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  <c:pt idx="9">
                  <c:v>FY30E</c:v>
                </c:pt>
              </c:strCache>
            </c:strRef>
          </c:cat>
          <c:val>
            <c:numRef>
              <c:f>Dashboard!$K$22</c:f>
              <c:numCache>
                <c:formatCode>#,##0;\(#,##0\);\-</c:formatCode>
                <c:ptCount val="1"/>
                <c:pt idx="0">
                  <c:v>94811.757028799984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2AF1-4E21-9250-A628B8C1C9BC}"/>
            </c:ext>
          </c:extLst>
        </c:ser>
        <c:ser>
          <c:idx val="9"/>
          <c:order val="9"/>
          <c:spPr>
            <a:ln w="4752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Dashboard!$C$21:$L$21</c:f>
              <c:strCache>
                <c:ptCount val="10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  <c:pt idx="9">
                  <c:v>FY30E</c:v>
                </c:pt>
              </c:strCache>
            </c:strRef>
          </c:cat>
          <c:val>
            <c:numRef>
              <c:f>Dashboard!$L$22</c:f>
              <c:numCache>
                <c:formatCode>#,##0;\(#,##0\);\-</c:formatCode>
                <c:ptCount val="1"/>
                <c:pt idx="0">
                  <c:v>105241.05030196799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2AF1-4E21-9250-A628B8C1C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2415613"/>
        <c:axId val="66195936"/>
      </c:lineChart>
      <c:catAx>
        <c:axId val="324156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195936"/>
        <c:crosses val="autoZero"/>
        <c:auto val="1"/>
        <c:lblAlgn val="ctr"/>
        <c:lblOffset val="100"/>
        <c:noMultiLvlLbl val="0"/>
      </c:catAx>
      <c:valAx>
        <c:axId val="661959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Rs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4156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5</xdr:col>
      <xdr:colOff>1136650</xdr:colOff>
      <xdr:row>43</xdr:row>
      <xdr:rowOff>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247355</xdr:colOff>
      <xdr:row>26</xdr:row>
      <xdr:rowOff>17573</xdr:rowOff>
    </xdr:from>
    <xdr:to>
      <xdr:col>13</xdr:col>
      <xdr:colOff>31907</xdr:colOff>
      <xdr:row>44</xdr:row>
      <xdr:rowOff>102634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showGridLines="0" topLeftCell="A18" zoomScale="86" zoomScaleNormal="100" workbookViewId="0">
      <selection activeCell="G10" sqref="G10"/>
    </sheetView>
  </sheetViews>
  <sheetFormatPr defaultColWidth="8.6328125" defaultRowHeight="14.5" x14ac:dyDescent="0.35"/>
  <cols>
    <col min="1" max="1" width="3" customWidth="1"/>
    <col min="2" max="2" width="25.26953125" customWidth="1"/>
    <col min="3" max="6" width="20" customWidth="1"/>
    <col min="7" max="7" width="9.36328125" customWidth="1"/>
    <col min="8" max="16" width="15" customWidth="1"/>
  </cols>
  <sheetData>
    <row r="1" spans="1:6" ht="30" customHeight="1" x14ac:dyDescent="0.35">
      <c r="A1" s="5" t="s">
        <v>0</v>
      </c>
      <c r="B1" s="5"/>
      <c r="C1" s="5"/>
      <c r="D1" s="5"/>
      <c r="E1" s="5"/>
      <c r="F1" s="5"/>
    </row>
    <row r="2" spans="1:6" ht="15" customHeight="1" x14ac:dyDescent="0.35">
      <c r="A2" s="50" t="s">
        <v>1</v>
      </c>
      <c r="B2" s="50"/>
      <c r="C2" s="50"/>
      <c r="D2" s="50"/>
      <c r="E2" s="50"/>
      <c r="F2" s="50"/>
    </row>
    <row r="4" spans="1:6" ht="25.5" customHeight="1" x14ac:dyDescent="0.35"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</row>
    <row r="5" spans="1:6" ht="30" customHeight="1" x14ac:dyDescent="0.35">
      <c r="B5" s="7">
        <f>'DCF Valuation'!C37</f>
        <v>784.87415026554777</v>
      </c>
      <c r="C5" s="7">
        <f>Inputs!C11</f>
        <v>4698.2</v>
      </c>
      <c r="D5" s="8">
        <f>'DCF Valuation'!C39</f>
        <v>-0.83294152010013456</v>
      </c>
      <c r="E5" s="9">
        <f>'DCF Valuation'!C11</f>
        <v>0.12673137205260243</v>
      </c>
      <c r="F5" s="8">
        <f>'DCF Valuation'!C33</f>
        <v>0.74699318083142952</v>
      </c>
    </row>
    <row r="6" spans="1:6" ht="15" customHeight="1" x14ac:dyDescent="0.35">
      <c r="B6" s="10" t="s">
        <v>7</v>
      </c>
      <c r="C6" s="10" t="s">
        <v>8</v>
      </c>
      <c r="D6" s="10" t="s">
        <v>9</v>
      </c>
      <c r="E6" s="10" t="s">
        <v>10</v>
      </c>
      <c r="F6" s="10" t="s">
        <v>11</v>
      </c>
    </row>
    <row r="8" spans="1:6" ht="19.5" customHeight="1" x14ac:dyDescent="0.35">
      <c r="A8" s="46" t="s">
        <v>12</v>
      </c>
      <c r="B8" s="48"/>
      <c r="C8" s="47"/>
      <c r="D8" s="47"/>
      <c r="E8" s="47"/>
      <c r="F8" s="46"/>
    </row>
    <row r="9" spans="1:6" ht="15" customHeight="1" x14ac:dyDescent="0.35">
      <c r="B9" s="11" t="s">
        <v>13</v>
      </c>
      <c r="C9" s="11" t="s">
        <v>14</v>
      </c>
      <c r="D9" s="11" t="s">
        <v>15</v>
      </c>
      <c r="E9" s="11" t="s">
        <v>16</v>
      </c>
    </row>
    <row r="10" spans="1:6" ht="15" customHeight="1" x14ac:dyDescent="0.35">
      <c r="B10" s="12" t="s">
        <v>17</v>
      </c>
      <c r="C10" s="13">
        <f>Inputs!C11</f>
        <v>4698.2</v>
      </c>
      <c r="D10" s="13">
        <f>Inputs!C11</f>
        <v>4698.2</v>
      </c>
      <c r="E10" s="13">
        <f>Inputs!C11</f>
        <v>4698.2</v>
      </c>
    </row>
    <row r="11" spans="1:6" ht="15" customHeight="1" x14ac:dyDescent="0.35">
      <c r="B11" s="12" t="s">
        <v>18</v>
      </c>
      <c r="C11" s="13">
        <f>MIN('Sensitivity Analysis'!C8:G12)</f>
        <v>628.55418868533468</v>
      </c>
      <c r="D11" s="13">
        <f>'DCF Valuation'!C37</f>
        <v>784.87415026554777</v>
      </c>
      <c r="E11" s="13">
        <f>MAX('Sensitivity Analysis'!C8:G12)</f>
        <v>1050.383981346763</v>
      </c>
    </row>
    <row r="12" spans="1:6" ht="15" customHeight="1" x14ac:dyDescent="0.35">
      <c r="B12" s="12" t="s">
        <v>19</v>
      </c>
      <c r="C12" s="13">
        <f>'Comparable Companies'!C15</f>
        <v>1072.2040586245771</v>
      </c>
      <c r="D12" s="13">
        <f>'Comparable Companies'!C15</f>
        <v>1072.2040586245771</v>
      </c>
      <c r="E12" s="13">
        <f>'Comparable Companies'!C15</f>
        <v>1072.2040586245771</v>
      </c>
    </row>
    <row r="13" spans="1:6" ht="15" customHeight="1" x14ac:dyDescent="0.35">
      <c r="B13" s="12" t="s">
        <v>20</v>
      </c>
      <c r="C13" s="13">
        <f>'Comparable Companies'!C22</f>
        <v>1153.5860744081172</v>
      </c>
      <c r="D13" s="13">
        <f>'Comparable Companies'!C22</f>
        <v>1153.5860744081172</v>
      </c>
      <c r="E13" s="13">
        <f>'Comparable Companies'!C22</f>
        <v>1153.5860744081172</v>
      </c>
    </row>
    <row r="15" spans="1:6" ht="30" customHeight="1" x14ac:dyDescent="0.35">
      <c r="B15" s="49" t="s">
        <v>21</v>
      </c>
      <c r="C15" s="49"/>
      <c r="D15" s="49"/>
      <c r="E15" s="49"/>
    </row>
    <row r="17" spans="1:12" ht="19.5" customHeight="1" x14ac:dyDescent="0.35">
      <c r="A17" s="4" t="s">
        <v>22</v>
      </c>
      <c r="B17" s="4"/>
      <c r="C17" s="4"/>
      <c r="D17" s="4"/>
      <c r="E17" s="4"/>
      <c r="F17" s="4"/>
    </row>
    <row r="18" spans="1:12" ht="54.75" customHeight="1" x14ac:dyDescent="0.35">
      <c r="B18" s="49" t="s">
        <v>23</v>
      </c>
      <c r="C18" s="49"/>
      <c r="D18" s="49"/>
      <c r="E18" s="49"/>
      <c r="F18" s="49"/>
      <c r="G18" s="49"/>
      <c r="H18" s="49"/>
    </row>
    <row r="20" spans="1:12" ht="19.5" customHeight="1" x14ac:dyDescent="0.35">
      <c r="A20" s="4" t="s">
        <v>24</v>
      </c>
      <c r="B20" s="4"/>
      <c r="C20" s="4"/>
      <c r="D20" s="4"/>
      <c r="E20" s="4"/>
      <c r="F20" s="4"/>
    </row>
    <row r="21" spans="1:12" ht="15" customHeight="1" x14ac:dyDescent="0.35">
      <c r="B21" s="42" t="s">
        <v>25</v>
      </c>
      <c r="C21" s="42" t="s">
        <v>26</v>
      </c>
      <c r="D21" s="42" t="s">
        <v>27</v>
      </c>
      <c r="E21" s="42" t="s">
        <v>28</v>
      </c>
      <c r="F21" s="42" t="s">
        <v>29</v>
      </c>
      <c r="G21" s="42" t="s">
        <v>30</v>
      </c>
      <c r="H21" s="42" t="s">
        <v>31</v>
      </c>
      <c r="I21" s="42" t="s">
        <v>32</v>
      </c>
      <c r="J21" s="42" t="s">
        <v>33</v>
      </c>
      <c r="K21" s="42" t="s">
        <v>34</v>
      </c>
      <c r="L21" s="42" t="s">
        <v>35</v>
      </c>
    </row>
    <row r="22" spans="1:12" ht="15" customHeight="1" x14ac:dyDescent="0.35">
      <c r="B22" s="43" t="s">
        <v>36</v>
      </c>
      <c r="C22" s="44">
        <f>'Historical Financials'!C5</f>
        <v>20088</v>
      </c>
      <c r="D22" s="44">
        <f>'Historical Financials'!D5</f>
        <v>27000</v>
      </c>
      <c r="E22" s="44">
        <f>'Historical Financials'!E5</f>
        <v>36150</v>
      </c>
      <c r="F22" s="44">
        <f>'Historical Financials'!F5</f>
        <v>46751</v>
      </c>
      <c r="G22" s="44">
        <f>'Historical Financials'!G5</f>
        <v>57143</v>
      </c>
      <c r="H22" s="44">
        <f>Forecast!C6</f>
        <v>65714.45</v>
      </c>
      <c r="I22" s="44">
        <f>Forecast!D6</f>
        <v>74914.472999999998</v>
      </c>
      <c r="J22" s="44">
        <f>Forecast!E6</f>
        <v>84653.354489999983</v>
      </c>
      <c r="K22" s="44">
        <f>Forecast!F6</f>
        <v>94811.757028799984</v>
      </c>
      <c r="L22" s="44">
        <f>Forecast!G6</f>
        <v>105241.05030196799</v>
      </c>
    </row>
    <row r="24" spans="1:12" ht="30" customHeight="1" x14ac:dyDescent="0.35">
      <c r="B24" s="49" t="s">
        <v>37</v>
      </c>
      <c r="C24" s="49"/>
      <c r="D24" s="49"/>
      <c r="E24" s="49"/>
      <c r="F24" s="49"/>
      <c r="G24" s="49"/>
      <c r="H24" s="49"/>
    </row>
    <row r="46" spans="2:8" ht="15" customHeight="1" x14ac:dyDescent="0.35">
      <c r="B46" s="3" t="s">
        <v>38</v>
      </c>
      <c r="C46" s="3"/>
      <c r="D46" s="3"/>
      <c r="E46" s="3"/>
      <c r="F46" s="3"/>
      <c r="G46" s="3"/>
      <c r="H46" s="3"/>
    </row>
  </sheetData>
  <mergeCells count="8">
    <mergeCell ref="B18:H18"/>
    <mergeCell ref="A20:F20"/>
    <mergeCell ref="B24:H24"/>
    <mergeCell ref="B46:H46"/>
    <mergeCell ref="A1:F1"/>
    <mergeCell ref="A2:F2"/>
    <mergeCell ref="B15:E15"/>
    <mergeCell ref="A17:F1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showGridLines="0" topLeftCell="A41" zoomScaleNormal="100" workbookViewId="0">
      <selection activeCell="A4" sqref="A4:H4"/>
    </sheetView>
  </sheetViews>
  <sheetFormatPr defaultColWidth="8.6328125" defaultRowHeight="14.5" x14ac:dyDescent="0.35"/>
  <cols>
    <col min="1" max="1" width="3" customWidth="1"/>
    <col min="2" max="2" width="34" customWidth="1"/>
    <col min="3" max="8" width="14" customWidth="1"/>
  </cols>
  <sheetData>
    <row r="1" spans="1:8" ht="30" customHeight="1" x14ac:dyDescent="0.35">
      <c r="A1" s="5" t="s">
        <v>39</v>
      </c>
      <c r="B1" s="5"/>
      <c r="C1" s="5"/>
      <c r="D1" s="5"/>
      <c r="E1" s="5"/>
      <c r="F1" s="5"/>
      <c r="G1" s="5"/>
      <c r="H1" s="5"/>
    </row>
    <row r="2" spans="1:8" ht="15" customHeight="1" x14ac:dyDescent="0.35">
      <c r="A2" s="51" t="s">
        <v>40</v>
      </c>
      <c r="B2" s="51"/>
      <c r="C2" s="51"/>
      <c r="D2" s="51"/>
      <c r="E2" s="51"/>
      <c r="F2" s="51"/>
      <c r="G2" s="51"/>
      <c r="H2" s="51"/>
    </row>
    <row r="4" spans="1:8" ht="19.5" customHeight="1" x14ac:dyDescent="0.35">
      <c r="A4" s="4" t="s">
        <v>41</v>
      </c>
      <c r="B4" s="4"/>
      <c r="C4" s="4"/>
      <c r="D4" s="4"/>
      <c r="E4" s="4"/>
      <c r="F4" s="4"/>
      <c r="G4" s="4"/>
      <c r="H4" s="4"/>
    </row>
    <row r="6" spans="1:8" ht="15" customHeight="1" x14ac:dyDescent="0.35">
      <c r="B6" s="14" t="s">
        <v>42</v>
      </c>
      <c r="C6" s="2" t="s">
        <v>43</v>
      </c>
      <c r="D6" s="2"/>
      <c r="E6" s="2"/>
    </row>
    <row r="7" spans="1:8" ht="15" customHeight="1" x14ac:dyDescent="0.35">
      <c r="B7" s="14" t="s">
        <v>44</v>
      </c>
      <c r="C7" s="2" t="s">
        <v>45</v>
      </c>
      <c r="D7" s="2"/>
      <c r="E7" s="2"/>
    </row>
    <row r="8" spans="1:8" ht="15" customHeight="1" x14ac:dyDescent="0.35">
      <c r="B8" s="14" t="s">
        <v>46</v>
      </c>
      <c r="C8" s="2" t="s">
        <v>47</v>
      </c>
      <c r="D8" s="2"/>
      <c r="E8" s="2"/>
    </row>
    <row r="9" spans="1:8" ht="15" customHeight="1" x14ac:dyDescent="0.35">
      <c r="B9" s="14" t="s">
        <v>48</v>
      </c>
      <c r="C9" s="2" t="s">
        <v>49</v>
      </c>
      <c r="D9" s="2"/>
      <c r="E9" s="2"/>
    </row>
    <row r="10" spans="1:8" ht="15" customHeight="1" x14ac:dyDescent="0.35">
      <c r="B10" s="14" t="s">
        <v>50</v>
      </c>
      <c r="C10" s="2" t="s">
        <v>51</v>
      </c>
      <c r="D10" s="2"/>
      <c r="E10" s="2"/>
    </row>
    <row r="11" spans="1:8" ht="15" customHeight="1" x14ac:dyDescent="0.35">
      <c r="B11" s="16" t="s">
        <v>52</v>
      </c>
      <c r="C11" s="17">
        <v>4698.2</v>
      </c>
    </row>
    <row r="12" spans="1:8" ht="15" customHeight="1" x14ac:dyDescent="0.35">
      <c r="B12" s="16" t="s">
        <v>53</v>
      </c>
      <c r="C12" s="18">
        <v>88.7</v>
      </c>
    </row>
    <row r="13" spans="1:8" ht="15" customHeight="1" x14ac:dyDescent="0.35">
      <c r="B13" s="16" t="s">
        <v>54</v>
      </c>
      <c r="C13" s="19">
        <f>C11*C12</f>
        <v>416730.34</v>
      </c>
    </row>
    <row r="15" spans="1:8" ht="31" customHeight="1" x14ac:dyDescent="0.35">
      <c r="B15" s="49" t="s">
        <v>55</v>
      </c>
      <c r="C15" s="49"/>
      <c r="D15" s="49"/>
      <c r="E15" s="49"/>
      <c r="F15" s="49"/>
      <c r="G15" s="49"/>
      <c r="H15" s="49"/>
    </row>
    <row r="17" spans="1:8" ht="19.5" customHeight="1" x14ac:dyDescent="0.35">
      <c r="A17" s="4" t="s">
        <v>56</v>
      </c>
      <c r="B17" s="4"/>
      <c r="C17" s="4"/>
      <c r="D17" s="4"/>
      <c r="E17" s="4"/>
      <c r="F17" s="4"/>
      <c r="G17" s="4"/>
      <c r="H17" s="4"/>
    </row>
    <row r="18" spans="1:8" ht="15" customHeight="1" x14ac:dyDescent="0.35">
      <c r="B18" s="11" t="s">
        <v>57</v>
      </c>
      <c r="C18" s="11" t="s">
        <v>31</v>
      </c>
      <c r="D18" s="11" t="s">
        <v>32</v>
      </c>
      <c r="E18" s="11" t="s">
        <v>33</v>
      </c>
      <c r="F18" s="11" t="s">
        <v>34</v>
      </c>
      <c r="G18" s="11" t="s">
        <v>35</v>
      </c>
    </row>
    <row r="19" spans="1:8" ht="15" customHeight="1" x14ac:dyDescent="0.35">
      <c r="B19" s="14" t="s">
        <v>58</v>
      </c>
      <c r="C19" s="20">
        <v>0.15</v>
      </c>
      <c r="D19" s="20">
        <v>0.14000000000000001</v>
      </c>
      <c r="E19" s="20">
        <v>0.13</v>
      </c>
      <c r="F19" s="20">
        <v>0.12</v>
      </c>
      <c r="G19" s="20">
        <v>0.11</v>
      </c>
    </row>
    <row r="20" spans="1:8" ht="15" customHeight="1" x14ac:dyDescent="0.35">
      <c r="B20" s="14" t="s">
        <v>59</v>
      </c>
      <c r="C20" s="20">
        <v>0.105</v>
      </c>
      <c r="D20" s="20">
        <v>0.108</v>
      </c>
      <c r="E20" s="20">
        <v>0.11</v>
      </c>
      <c r="F20" s="20">
        <v>0.112</v>
      </c>
      <c r="G20" s="20">
        <v>0.113</v>
      </c>
    </row>
    <row r="21" spans="1:8" ht="15" customHeight="1" x14ac:dyDescent="0.35">
      <c r="B21" s="14" t="s">
        <v>60</v>
      </c>
      <c r="C21" s="20">
        <v>1.4999999999999999E-2</v>
      </c>
      <c r="D21" s="20">
        <v>1.4999999999999999E-2</v>
      </c>
      <c r="E21" s="20">
        <v>1.4999999999999999E-2</v>
      </c>
      <c r="F21" s="20">
        <v>1.4999999999999999E-2</v>
      </c>
      <c r="G21" s="20">
        <v>1.4999999999999999E-2</v>
      </c>
    </row>
    <row r="22" spans="1:8" ht="15" customHeight="1" x14ac:dyDescent="0.35">
      <c r="B22" s="14" t="s">
        <v>61</v>
      </c>
      <c r="C22" s="20">
        <v>1.2E-2</v>
      </c>
      <c r="D22" s="20">
        <v>1.2E-2</v>
      </c>
      <c r="E22" s="20">
        <v>1.2E-2</v>
      </c>
      <c r="F22" s="20">
        <v>1.2E-2</v>
      </c>
      <c r="G22" s="20">
        <v>1.2E-2</v>
      </c>
    </row>
    <row r="23" spans="1:8" ht="15" customHeight="1" x14ac:dyDescent="0.35">
      <c r="B23" s="14" t="s">
        <v>62</v>
      </c>
      <c r="C23" s="20">
        <v>0.2</v>
      </c>
      <c r="D23" s="20">
        <v>0.2</v>
      </c>
      <c r="E23" s="20">
        <v>0.2</v>
      </c>
      <c r="F23" s="20">
        <v>0.2</v>
      </c>
      <c r="G23" s="20">
        <v>0.2</v>
      </c>
    </row>
    <row r="24" spans="1:8" ht="30" customHeight="1" x14ac:dyDescent="0.35">
      <c r="B24" s="16" t="s">
        <v>63</v>
      </c>
      <c r="C24" s="20">
        <v>0.25</v>
      </c>
      <c r="H24" s="52" t="s">
        <v>64</v>
      </c>
    </row>
    <row r="26" spans="1:8" ht="58" customHeight="1" x14ac:dyDescent="0.35">
      <c r="B26" s="49" t="s">
        <v>65</v>
      </c>
      <c r="C26" s="49"/>
      <c r="D26" s="49"/>
      <c r="E26" s="49"/>
      <c r="F26" s="49"/>
      <c r="G26" s="49"/>
      <c r="H26" s="49"/>
    </row>
    <row r="28" spans="1:8" ht="19.5" customHeight="1" x14ac:dyDescent="0.35">
      <c r="A28" s="4" t="s">
        <v>66</v>
      </c>
      <c r="B28" s="4"/>
      <c r="C28" s="4"/>
      <c r="D28" s="4"/>
      <c r="E28" s="4"/>
      <c r="F28" s="4"/>
      <c r="G28" s="4"/>
      <c r="H28" s="4"/>
    </row>
    <row r="29" spans="1:8" ht="15" customHeight="1" x14ac:dyDescent="0.35">
      <c r="B29" s="16" t="s">
        <v>67</v>
      </c>
      <c r="C29" s="20">
        <v>6.9000000000000006E-2</v>
      </c>
    </row>
    <row r="30" spans="1:8" ht="15" customHeight="1" x14ac:dyDescent="0.35">
      <c r="B30" s="16" t="s">
        <v>68</v>
      </c>
      <c r="C30" s="21">
        <v>0.9</v>
      </c>
    </row>
    <row r="31" spans="1:8" ht="15" customHeight="1" x14ac:dyDescent="0.35">
      <c r="B31" s="16" t="s">
        <v>69</v>
      </c>
      <c r="C31" s="20">
        <v>6.5000000000000002E-2</v>
      </c>
    </row>
    <row r="32" spans="1:8" ht="15" customHeight="1" x14ac:dyDescent="0.35">
      <c r="B32" s="16" t="s">
        <v>70</v>
      </c>
      <c r="C32" s="22">
        <f>C29+C30*C31</f>
        <v>0.1275</v>
      </c>
    </row>
    <row r="33" spans="1:8" ht="15" customHeight="1" x14ac:dyDescent="0.35">
      <c r="B33" s="16" t="s">
        <v>71</v>
      </c>
      <c r="C33" s="20">
        <v>0.08</v>
      </c>
    </row>
    <row r="34" spans="1:8" ht="15" customHeight="1" x14ac:dyDescent="0.35">
      <c r="B34" s="16" t="s">
        <v>72</v>
      </c>
      <c r="C34" s="22">
        <f>C33*(1-C24)</f>
        <v>0.06</v>
      </c>
    </row>
    <row r="36" spans="1:8" ht="40" customHeight="1" x14ac:dyDescent="0.35">
      <c r="B36" s="49" t="s">
        <v>73</v>
      </c>
      <c r="C36" s="49"/>
      <c r="D36" s="49"/>
      <c r="E36" s="49"/>
      <c r="F36" s="49"/>
      <c r="G36" s="49"/>
      <c r="H36" s="49"/>
    </row>
    <row r="38" spans="1:8" ht="19.5" customHeight="1" x14ac:dyDescent="0.35">
      <c r="A38" s="4" t="s">
        <v>74</v>
      </c>
      <c r="B38" s="4"/>
      <c r="C38" s="4"/>
      <c r="D38" s="4"/>
      <c r="E38" s="4"/>
      <c r="F38" s="4"/>
      <c r="G38" s="4"/>
      <c r="H38" s="4"/>
    </row>
    <row r="39" spans="1:8" ht="15" customHeight="1" x14ac:dyDescent="0.35">
      <c r="B39" s="16" t="s">
        <v>75</v>
      </c>
      <c r="C39" s="20">
        <v>0.05</v>
      </c>
    </row>
    <row r="40" spans="1:8" ht="15" customHeight="1" x14ac:dyDescent="0.35">
      <c r="B40" s="49" t="s">
        <v>76</v>
      </c>
      <c r="C40" s="49"/>
      <c r="D40" s="49"/>
      <c r="E40" s="49"/>
      <c r="F40" s="49"/>
      <c r="G40" s="49"/>
      <c r="H40" s="49"/>
    </row>
    <row r="42" spans="1:8" ht="19.5" customHeight="1" x14ac:dyDescent="0.35">
      <c r="A42" s="4" t="s">
        <v>77</v>
      </c>
      <c r="B42" s="4"/>
      <c r="C42" s="4"/>
      <c r="D42" s="4"/>
      <c r="E42" s="4"/>
      <c r="F42" s="4"/>
      <c r="G42" s="4"/>
      <c r="H42" s="4"/>
    </row>
    <row r="43" spans="1:8" ht="15" customHeight="1" x14ac:dyDescent="0.35">
      <c r="B43" s="23" t="s">
        <v>78</v>
      </c>
      <c r="C43" s="1" t="s">
        <v>79</v>
      </c>
      <c r="D43" s="1"/>
      <c r="E43" s="1"/>
      <c r="F43" s="1"/>
      <c r="G43" s="1"/>
      <c r="H43" s="1"/>
    </row>
    <row r="44" spans="1:8" ht="15" customHeight="1" x14ac:dyDescent="0.35">
      <c r="B44" s="14" t="s">
        <v>80</v>
      </c>
      <c r="C44" s="1" t="s">
        <v>81</v>
      </c>
      <c r="D44" s="1"/>
      <c r="E44" s="1"/>
      <c r="F44" s="1"/>
      <c r="G44" s="1"/>
      <c r="H44" s="1"/>
    </row>
    <row r="45" spans="1:8" ht="15" customHeight="1" x14ac:dyDescent="0.35">
      <c r="B45" s="24" t="s">
        <v>82</v>
      </c>
      <c r="C45" s="1" t="s">
        <v>83</v>
      </c>
      <c r="D45" s="1"/>
      <c r="E45" s="1"/>
      <c r="F45" s="1"/>
      <c r="G45" s="1"/>
      <c r="H45" s="1"/>
    </row>
    <row r="46" spans="1:8" ht="27.75" customHeight="1" x14ac:dyDescent="0.35">
      <c r="B46" s="3" t="s">
        <v>84</v>
      </c>
      <c r="C46" s="3"/>
      <c r="D46" s="3"/>
      <c r="E46" s="3"/>
      <c r="F46" s="3"/>
      <c r="G46" s="3"/>
      <c r="H46" s="3"/>
    </row>
  </sheetData>
  <mergeCells count="20">
    <mergeCell ref="A42:H42"/>
    <mergeCell ref="C43:H43"/>
    <mergeCell ref="C44:H44"/>
    <mergeCell ref="C45:H45"/>
    <mergeCell ref="B46:H46"/>
    <mergeCell ref="B26:H26"/>
    <mergeCell ref="A28:H28"/>
    <mergeCell ref="B36:H36"/>
    <mergeCell ref="A38:H38"/>
    <mergeCell ref="B40:H40"/>
    <mergeCell ref="C8:E8"/>
    <mergeCell ref="C9:E9"/>
    <mergeCell ref="C10:E10"/>
    <mergeCell ref="B15:H15"/>
    <mergeCell ref="A17:H17"/>
    <mergeCell ref="A1:H1"/>
    <mergeCell ref="A2:H2"/>
    <mergeCell ref="A4:H4"/>
    <mergeCell ref="C6:E6"/>
    <mergeCell ref="C7:E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showGridLines="0" topLeftCell="A20" zoomScaleNormal="100" workbookViewId="0">
      <selection activeCell="B25" sqref="B25:G25"/>
    </sheetView>
  </sheetViews>
  <sheetFormatPr defaultColWidth="8.6328125" defaultRowHeight="14.5" x14ac:dyDescent="0.35"/>
  <cols>
    <col min="1" max="1" width="3" customWidth="1"/>
    <col min="2" max="2" width="30" customWidth="1"/>
    <col min="3" max="7" width="13" customWidth="1"/>
    <col min="8" max="8" width="3" customWidth="1"/>
  </cols>
  <sheetData>
    <row r="1" spans="1:7" ht="30" customHeight="1" x14ac:dyDescent="0.35">
      <c r="A1" s="5" t="s">
        <v>85</v>
      </c>
      <c r="B1" s="5"/>
      <c r="C1" s="5"/>
      <c r="D1" s="5"/>
      <c r="E1" s="5"/>
      <c r="F1" s="5"/>
      <c r="G1" s="5"/>
    </row>
    <row r="2" spans="1:7" ht="15" customHeight="1" x14ac:dyDescent="0.35">
      <c r="A2" s="53" t="s">
        <v>86</v>
      </c>
      <c r="B2" s="53"/>
      <c r="C2" s="53"/>
      <c r="D2" s="53"/>
      <c r="E2" s="53"/>
      <c r="F2" s="53"/>
      <c r="G2" s="53"/>
    </row>
    <row r="4" spans="1:7" ht="15" customHeight="1" x14ac:dyDescent="0.35">
      <c r="B4" s="11" t="s">
        <v>87</v>
      </c>
      <c r="C4" s="11" t="s">
        <v>26</v>
      </c>
      <c r="D4" s="11" t="s">
        <v>27</v>
      </c>
      <c r="E4" s="11" t="s">
        <v>28</v>
      </c>
      <c r="F4" s="11" t="s">
        <v>29</v>
      </c>
      <c r="G4" s="11" t="s">
        <v>30</v>
      </c>
    </row>
    <row r="5" spans="1:7" ht="15" customHeight="1" x14ac:dyDescent="0.35">
      <c r="B5" s="16" t="s">
        <v>88</v>
      </c>
      <c r="C5" s="25">
        <v>20088</v>
      </c>
      <c r="D5" s="25">
        <v>27000</v>
      </c>
      <c r="E5" s="25">
        <v>36150</v>
      </c>
      <c r="F5" s="25">
        <v>46751</v>
      </c>
      <c r="G5" s="25">
        <v>57143</v>
      </c>
    </row>
    <row r="6" spans="1:7" ht="15" customHeight="1" x14ac:dyDescent="0.35">
      <c r="B6" s="14" t="s">
        <v>58</v>
      </c>
      <c r="C6" s="45" t="s">
        <v>89</v>
      </c>
      <c r="D6" s="26">
        <f>D5/C5-1</f>
        <v>0.34408602150537626</v>
      </c>
      <c r="E6" s="26">
        <f>E5/D5-1</f>
        <v>0.3388888888888888</v>
      </c>
      <c r="F6" s="26">
        <f>F5/E5-1</f>
        <v>0.29325034578146614</v>
      </c>
      <c r="G6" s="26">
        <f>G5/F5-1</f>
        <v>0.22228401531518038</v>
      </c>
    </row>
    <row r="7" spans="1:7" ht="15" customHeight="1" x14ac:dyDescent="0.35">
      <c r="B7" s="14" t="s">
        <v>90</v>
      </c>
      <c r="C7" s="20">
        <v>0.1225</v>
      </c>
      <c r="D7" s="20">
        <v>0.115</v>
      </c>
      <c r="E7" s="20">
        <v>0.114</v>
      </c>
      <c r="F7" s="20">
        <v>0.1132</v>
      </c>
      <c r="G7" s="20">
        <v>9.9599999999999994E-2</v>
      </c>
    </row>
    <row r="8" spans="1:7" ht="15" customHeight="1" x14ac:dyDescent="0.35">
      <c r="B8" s="16" t="s">
        <v>91</v>
      </c>
      <c r="C8" s="19">
        <f>C5*C7</f>
        <v>2460.7799999999997</v>
      </c>
      <c r="D8" s="19">
        <f>D5*D7</f>
        <v>3105</v>
      </c>
      <c r="E8" s="19">
        <f>E5*E7</f>
        <v>4121.1000000000004</v>
      </c>
      <c r="F8" s="19">
        <f>F5*F7</f>
        <v>5292.2132000000001</v>
      </c>
      <c r="G8" s="19">
        <f>G5*G7</f>
        <v>5691.4427999999998</v>
      </c>
    </row>
    <row r="9" spans="1:7" ht="15" customHeight="1" x14ac:dyDescent="0.35">
      <c r="B9" s="16" t="s">
        <v>92</v>
      </c>
      <c r="C9" s="25">
        <v>973</v>
      </c>
      <c r="D9" s="25">
        <v>2153</v>
      </c>
      <c r="E9" s="25">
        <v>2802</v>
      </c>
      <c r="F9" s="25">
        <v>3496</v>
      </c>
      <c r="G9" s="25">
        <v>3337</v>
      </c>
    </row>
    <row r="10" spans="1:7" ht="15" customHeight="1" x14ac:dyDescent="0.35">
      <c r="B10" s="14" t="s">
        <v>93</v>
      </c>
      <c r="C10" s="26">
        <f>C9/C5</f>
        <v>4.8436877737953007E-2</v>
      </c>
      <c r="D10" s="26">
        <f>D9/D5</f>
        <v>7.9740740740740737E-2</v>
      </c>
      <c r="E10" s="26">
        <f>E9/E5</f>
        <v>7.7510373443983399E-2</v>
      </c>
      <c r="F10" s="26">
        <f>F9/F5</f>
        <v>7.477914910910996E-2</v>
      </c>
      <c r="G10" s="26">
        <f>G9/G5</f>
        <v>5.8397354006614985E-2</v>
      </c>
    </row>
    <row r="11" spans="1:7" ht="15" customHeight="1" x14ac:dyDescent="0.35">
      <c r="B11" s="14" t="s">
        <v>94</v>
      </c>
      <c r="C11" s="25">
        <v>300</v>
      </c>
      <c r="D11" s="25">
        <v>400</v>
      </c>
      <c r="E11" s="25">
        <v>540</v>
      </c>
      <c r="F11" s="25">
        <v>700</v>
      </c>
      <c r="G11" s="25">
        <v>860</v>
      </c>
    </row>
    <row r="12" spans="1:7" ht="15" customHeight="1" x14ac:dyDescent="0.35">
      <c r="B12" s="16" t="s">
        <v>95</v>
      </c>
      <c r="C12" s="19">
        <f>C8+C11</f>
        <v>2760.7799999999997</v>
      </c>
      <c r="D12" s="19">
        <f>D8+D11</f>
        <v>3505</v>
      </c>
      <c r="E12" s="19">
        <f>E8+E11</f>
        <v>4661.1000000000004</v>
      </c>
      <c r="F12" s="19">
        <f>F8+F11</f>
        <v>5992.2132000000001</v>
      </c>
      <c r="G12" s="19">
        <f>G8+G11</f>
        <v>6551.4427999999998</v>
      </c>
    </row>
    <row r="13" spans="1:7" ht="15" customHeight="1" x14ac:dyDescent="0.35">
      <c r="B13" s="14" t="s">
        <v>96</v>
      </c>
      <c r="C13" s="25">
        <v>200</v>
      </c>
      <c r="D13" s="25">
        <v>270</v>
      </c>
      <c r="E13" s="25">
        <v>360</v>
      </c>
      <c r="F13" s="25">
        <v>470</v>
      </c>
      <c r="G13" s="25">
        <v>570</v>
      </c>
    </row>
    <row r="14" spans="1:7" ht="15" customHeight="1" x14ac:dyDescent="0.35">
      <c r="B14" s="14" t="s">
        <v>97</v>
      </c>
      <c r="C14" s="25">
        <v>1500</v>
      </c>
      <c r="D14" s="25">
        <v>2200</v>
      </c>
      <c r="E14" s="25">
        <v>2800</v>
      </c>
      <c r="F14" s="25">
        <v>3200</v>
      </c>
      <c r="G14" s="25">
        <v>3100</v>
      </c>
    </row>
    <row r="15" spans="1:7" ht="15" customHeight="1" x14ac:dyDescent="0.35">
      <c r="B15" s="14" t="s">
        <v>98</v>
      </c>
      <c r="C15" s="25">
        <v>2500</v>
      </c>
      <c r="D15" s="25">
        <v>3000</v>
      </c>
      <c r="E15" s="25">
        <v>3600</v>
      </c>
      <c r="F15" s="25">
        <v>4200</v>
      </c>
      <c r="G15" s="25">
        <v>4800</v>
      </c>
    </row>
    <row r="16" spans="1:7" ht="15" customHeight="1" x14ac:dyDescent="0.35">
      <c r="B16" s="14" t="s">
        <v>99</v>
      </c>
      <c r="C16" s="25">
        <v>1200</v>
      </c>
      <c r="D16" s="25">
        <v>1400</v>
      </c>
      <c r="E16" s="25">
        <v>1700</v>
      </c>
      <c r="F16" s="25">
        <v>2000</v>
      </c>
      <c r="G16" s="25">
        <v>2300</v>
      </c>
    </row>
    <row r="17" spans="1:7" ht="15" customHeight="1" x14ac:dyDescent="0.35">
      <c r="B17" s="16" t="s">
        <v>100</v>
      </c>
      <c r="C17" s="19">
        <f>C15-C16</f>
        <v>1300</v>
      </c>
      <c r="D17" s="19">
        <f>D15-D16</f>
        <v>1600</v>
      </c>
      <c r="E17" s="19">
        <f>E15-E16</f>
        <v>1900</v>
      </c>
      <c r="F17" s="19">
        <f>F15-F16</f>
        <v>2200</v>
      </c>
      <c r="G17" s="19">
        <f>G15-G16</f>
        <v>2500</v>
      </c>
    </row>
    <row r="18" spans="1:7" ht="15" customHeight="1" x14ac:dyDescent="0.35">
      <c r="B18" s="14" t="s">
        <v>53</v>
      </c>
      <c r="C18" s="18">
        <v>87.9</v>
      </c>
      <c r="D18" s="18">
        <v>88.1</v>
      </c>
      <c r="E18" s="18">
        <v>88.3</v>
      </c>
      <c r="F18" s="18">
        <v>88.5</v>
      </c>
      <c r="G18" s="18">
        <v>88.7</v>
      </c>
    </row>
    <row r="19" spans="1:7" ht="15" customHeight="1" x14ac:dyDescent="0.35">
      <c r="B19" s="16" t="s">
        <v>101</v>
      </c>
      <c r="C19" s="13">
        <f>C9/C18</f>
        <v>11.069397042093287</v>
      </c>
      <c r="D19" s="13">
        <f>D9/D18</f>
        <v>24.438138479001136</v>
      </c>
      <c r="E19" s="13">
        <f>E9/E18</f>
        <v>31.732729331823332</v>
      </c>
      <c r="F19" s="13">
        <f>F9/F18</f>
        <v>39.502824858757059</v>
      </c>
      <c r="G19" s="13">
        <f>G9/G18</f>
        <v>37.621195039458847</v>
      </c>
    </row>
    <row r="21" spans="1:7" ht="19.5" customHeight="1" x14ac:dyDescent="0.35">
      <c r="A21" s="4" t="s">
        <v>102</v>
      </c>
      <c r="B21" s="4"/>
      <c r="C21" s="4"/>
      <c r="D21" s="4"/>
      <c r="E21" s="4"/>
      <c r="F21" s="4"/>
      <c r="G21" s="4"/>
    </row>
    <row r="22" spans="1:7" ht="60.5" customHeight="1" x14ac:dyDescent="0.35">
      <c r="B22" s="49" t="s">
        <v>103</v>
      </c>
      <c r="C22" s="49"/>
      <c r="D22" s="49"/>
      <c r="E22" s="49"/>
      <c r="F22" s="49"/>
      <c r="G22" s="49"/>
    </row>
    <row r="23" spans="1:7" ht="49" customHeight="1" x14ac:dyDescent="0.35">
      <c r="B23" s="49" t="s">
        <v>104</v>
      </c>
      <c r="C23" s="49"/>
      <c r="D23" s="49"/>
      <c r="E23" s="49"/>
      <c r="F23" s="49"/>
      <c r="G23" s="49"/>
    </row>
    <row r="24" spans="1:7" ht="59" customHeight="1" x14ac:dyDescent="0.35">
      <c r="B24" s="49" t="s">
        <v>105</v>
      </c>
      <c r="C24" s="49"/>
      <c r="D24" s="49"/>
      <c r="E24" s="49"/>
      <c r="F24" s="49"/>
      <c r="G24" s="49"/>
    </row>
    <row r="25" spans="1:7" ht="50.5" customHeight="1" x14ac:dyDescent="0.35">
      <c r="B25" s="49" t="s">
        <v>106</v>
      </c>
      <c r="C25" s="49"/>
      <c r="D25" s="49"/>
      <c r="E25" s="49"/>
      <c r="F25" s="49"/>
      <c r="G25" s="49"/>
    </row>
  </sheetData>
  <mergeCells count="7">
    <mergeCell ref="B24:G24"/>
    <mergeCell ref="B25:G25"/>
    <mergeCell ref="A1:G1"/>
    <mergeCell ref="A2:G2"/>
    <mergeCell ref="A21:G21"/>
    <mergeCell ref="B22:G22"/>
    <mergeCell ref="B23:G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showGridLines="0" zoomScaleNormal="100" workbookViewId="0">
      <selection activeCell="B16" sqref="B16:G16"/>
    </sheetView>
  </sheetViews>
  <sheetFormatPr defaultColWidth="8.6328125" defaultRowHeight="14.5" x14ac:dyDescent="0.35"/>
  <cols>
    <col min="1" max="1" width="3" customWidth="1"/>
    <col min="2" max="2" width="32" customWidth="1"/>
    <col min="3" max="7" width="13" customWidth="1"/>
    <col min="8" max="8" width="3" customWidth="1"/>
  </cols>
  <sheetData>
    <row r="1" spans="1:7" ht="30" customHeight="1" x14ac:dyDescent="0.35">
      <c r="A1" s="5" t="s">
        <v>107</v>
      </c>
      <c r="B1" s="5"/>
      <c r="C1" s="5"/>
      <c r="D1" s="5"/>
      <c r="E1" s="5"/>
      <c r="F1" s="5"/>
      <c r="G1" s="5"/>
    </row>
    <row r="2" spans="1:7" ht="15" customHeight="1" x14ac:dyDescent="0.35">
      <c r="A2" s="51" t="s">
        <v>108</v>
      </c>
      <c r="B2" s="51"/>
      <c r="C2" s="51"/>
      <c r="D2" s="51"/>
      <c r="E2" s="51"/>
      <c r="F2" s="51"/>
      <c r="G2" s="51"/>
    </row>
    <row r="4" spans="1:7" ht="15" customHeight="1" x14ac:dyDescent="0.35">
      <c r="B4" s="11" t="s">
        <v>87</v>
      </c>
      <c r="C4" s="11" t="s">
        <v>31</v>
      </c>
      <c r="D4" s="11" t="s">
        <v>32</v>
      </c>
      <c r="E4" s="11" t="s">
        <v>33</v>
      </c>
      <c r="F4" s="11" t="s">
        <v>34</v>
      </c>
      <c r="G4" s="11" t="s">
        <v>35</v>
      </c>
    </row>
    <row r="5" spans="1:7" ht="15" customHeight="1" x14ac:dyDescent="0.35">
      <c r="B5" s="14" t="s">
        <v>109</v>
      </c>
      <c r="C5" s="27">
        <f>Inputs!C19</f>
        <v>0.15</v>
      </c>
      <c r="D5" s="27">
        <f>Inputs!D19</f>
        <v>0.14000000000000001</v>
      </c>
      <c r="E5" s="27">
        <f>Inputs!E19</f>
        <v>0.13</v>
      </c>
      <c r="F5" s="27">
        <f>Inputs!F19</f>
        <v>0.12</v>
      </c>
      <c r="G5" s="27">
        <f>Inputs!G19</f>
        <v>0.11</v>
      </c>
    </row>
    <row r="6" spans="1:7" ht="15" customHeight="1" x14ac:dyDescent="0.35">
      <c r="B6" s="16" t="s">
        <v>88</v>
      </c>
      <c r="C6" s="19">
        <f>'Historical Financials'!G5*(1+C5)</f>
        <v>65714.45</v>
      </c>
      <c r="D6" s="19">
        <f>C6*(1+D5)</f>
        <v>74914.472999999998</v>
      </c>
      <c r="E6" s="19">
        <f>D6*(1+E5)</f>
        <v>84653.354489999983</v>
      </c>
      <c r="F6" s="19">
        <f>E6*(1+F5)</f>
        <v>94811.757028799984</v>
      </c>
      <c r="G6" s="19">
        <f>F6*(1+G5)</f>
        <v>105241.05030196799</v>
      </c>
    </row>
    <row r="7" spans="1:7" ht="15" customHeight="1" x14ac:dyDescent="0.35">
      <c r="B7" s="14" t="s">
        <v>110</v>
      </c>
      <c r="C7" s="27">
        <f>Inputs!C20</f>
        <v>0.105</v>
      </c>
      <c r="D7" s="27">
        <f>Inputs!D20</f>
        <v>0.108</v>
      </c>
      <c r="E7" s="27">
        <f>Inputs!E20</f>
        <v>0.11</v>
      </c>
      <c r="F7" s="27">
        <f>Inputs!F20</f>
        <v>0.112</v>
      </c>
      <c r="G7" s="27">
        <f>Inputs!G20</f>
        <v>0.113</v>
      </c>
    </row>
    <row r="8" spans="1:7" ht="15" customHeight="1" x14ac:dyDescent="0.35">
      <c r="B8" s="16" t="s">
        <v>91</v>
      </c>
      <c r="C8" s="19">
        <f>C6*C7</f>
        <v>6900.0172499999999</v>
      </c>
      <c r="D8" s="19">
        <f>D6*D7</f>
        <v>8090.7630839999993</v>
      </c>
      <c r="E8" s="19">
        <f>E6*E7</f>
        <v>9311.8689938999978</v>
      </c>
      <c r="F8" s="19">
        <f>F6*F7</f>
        <v>10618.916787225598</v>
      </c>
      <c r="G8" s="19">
        <f>G6*G7</f>
        <v>11892.238684122383</v>
      </c>
    </row>
    <row r="9" spans="1:7" ht="15" customHeight="1" x14ac:dyDescent="0.35">
      <c r="B9" s="14" t="s">
        <v>111</v>
      </c>
      <c r="C9" s="27">
        <f>Inputs!$C$24</f>
        <v>0.25</v>
      </c>
      <c r="D9" s="27">
        <f>Inputs!$C$24</f>
        <v>0.25</v>
      </c>
      <c r="E9" s="27">
        <f>Inputs!$C$24</f>
        <v>0.25</v>
      </c>
      <c r="F9" s="27">
        <f>Inputs!$C$24</f>
        <v>0.25</v>
      </c>
      <c r="G9" s="27">
        <f>Inputs!$C$24</f>
        <v>0.25</v>
      </c>
    </row>
    <row r="10" spans="1:7" ht="15" customHeight="1" x14ac:dyDescent="0.35">
      <c r="B10" s="16" t="s">
        <v>112</v>
      </c>
      <c r="C10" s="19">
        <f>C8*(1-C9)</f>
        <v>5175.0129374999997</v>
      </c>
      <c r="D10" s="19">
        <f>D8*(1-D9)</f>
        <v>6068.0723129999997</v>
      </c>
      <c r="E10" s="19">
        <f>E8*(1-E9)</f>
        <v>6983.9017454249988</v>
      </c>
      <c r="F10" s="19">
        <f>F8*(1-F9)</f>
        <v>7964.1875904191984</v>
      </c>
      <c r="G10" s="19">
        <f>G8*(1-G9)</f>
        <v>8919.1790130917871</v>
      </c>
    </row>
    <row r="11" spans="1:7" ht="15" customHeight="1" x14ac:dyDescent="0.35">
      <c r="B11" s="14" t="s">
        <v>113</v>
      </c>
      <c r="C11" s="19">
        <f>C6*Inputs!C21</f>
        <v>985.71674999999993</v>
      </c>
      <c r="D11" s="19">
        <f>D6*Inputs!D21</f>
        <v>1123.717095</v>
      </c>
      <c r="E11" s="19">
        <f>E6*Inputs!E21</f>
        <v>1269.8003173499997</v>
      </c>
      <c r="F11" s="19">
        <f>F6*Inputs!F21</f>
        <v>1422.1763554319998</v>
      </c>
      <c r="G11" s="19">
        <f>G6*Inputs!G21</f>
        <v>1578.6157545295198</v>
      </c>
    </row>
    <row r="12" spans="1:7" ht="15" customHeight="1" x14ac:dyDescent="0.35">
      <c r="B12" s="14" t="s">
        <v>114</v>
      </c>
      <c r="C12" s="19">
        <f>C6*Inputs!C22</f>
        <v>788.57339999999999</v>
      </c>
      <c r="D12" s="19">
        <f>D6*Inputs!D22</f>
        <v>898.97367599999995</v>
      </c>
      <c r="E12" s="19">
        <f>E6*Inputs!E22</f>
        <v>1015.8402538799999</v>
      </c>
      <c r="F12" s="19">
        <f>F6*Inputs!F22</f>
        <v>1137.7410843455998</v>
      </c>
      <c r="G12" s="19">
        <f>G6*Inputs!G22</f>
        <v>1262.892603623616</v>
      </c>
    </row>
    <row r="13" spans="1:7" ht="15" customHeight="1" x14ac:dyDescent="0.35">
      <c r="B13" s="14" t="s">
        <v>115</v>
      </c>
      <c r="C13" s="19">
        <f>(C6-'Historical Financials'!G5)*Inputs!C23</f>
        <v>1714.2899999999995</v>
      </c>
      <c r="D13" s="19">
        <f>(D6-C6)*Inputs!D23</f>
        <v>1840.0046000000002</v>
      </c>
      <c r="E13" s="19">
        <f>(E6-D6)*Inputs!E23</f>
        <v>1947.776297999997</v>
      </c>
      <c r="F13" s="19">
        <f>(F6-E6)*Inputs!F23</f>
        <v>2031.6805077600002</v>
      </c>
      <c r="G13" s="19">
        <f>(G6-F6)*Inputs!G23</f>
        <v>2085.858654633601</v>
      </c>
    </row>
    <row r="14" spans="1:7" ht="15" customHeight="1" x14ac:dyDescent="0.35">
      <c r="B14" s="16" t="s">
        <v>116</v>
      </c>
      <c r="C14" s="28">
        <f>C10+C11-C12-C13</f>
        <v>3657.8662874999995</v>
      </c>
      <c r="D14" s="28">
        <f>D10+D11-D12-D13</f>
        <v>4452.8111319999998</v>
      </c>
      <c r="E14" s="28">
        <f>E10+E11-E12-E13</f>
        <v>5290.0855108950018</v>
      </c>
      <c r="F14" s="28">
        <f>F10+F11-F12-F13</f>
        <v>6216.9423537455987</v>
      </c>
      <c r="G14" s="28">
        <f>G10+G11-G12-G13</f>
        <v>7149.0435093640899</v>
      </c>
    </row>
    <row r="16" spans="1:7" ht="30.5" customHeight="1" x14ac:dyDescent="0.35">
      <c r="B16" s="49" t="s">
        <v>117</v>
      </c>
      <c r="C16" s="49"/>
      <c r="D16" s="49"/>
      <c r="E16" s="49"/>
      <c r="F16" s="49"/>
      <c r="G16" s="49"/>
    </row>
  </sheetData>
  <mergeCells count="3">
    <mergeCell ref="A1:G1"/>
    <mergeCell ref="A2:G2"/>
    <mergeCell ref="B16:G1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"/>
  <sheetViews>
    <sheetView showGridLines="0" zoomScaleNormal="100" workbookViewId="0">
      <selection activeCell="E10" sqref="E10"/>
    </sheetView>
  </sheetViews>
  <sheetFormatPr defaultColWidth="8.6328125" defaultRowHeight="14.5" x14ac:dyDescent="0.35"/>
  <cols>
    <col min="1" max="1" width="3" customWidth="1"/>
    <col min="2" max="2" width="34" customWidth="1"/>
    <col min="3" max="7" width="14" customWidth="1"/>
    <col min="8" max="8" width="3" customWidth="1"/>
  </cols>
  <sheetData>
    <row r="1" spans="1:7" ht="30" customHeight="1" x14ac:dyDescent="0.35">
      <c r="A1" s="5" t="s">
        <v>118</v>
      </c>
      <c r="B1" s="5"/>
      <c r="C1" s="5"/>
      <c r="D1" s="5"/>
      <c r="E1" s="5"/>
      <c r="F1" s="5"/>
      <c r="G1" s="5"/>
    </row>
    <row r="2" spans="1:7" ht="15" customHeight="1" x14ac:dyDescent="0.35">
      <c r="A2" s="51" t="s">
        <v>119</v>
      </c>
      <c r="B2" s="51"/>
      <c r="C2" s="51"/>
      <c r="D2" s="51"/>
      <c r="E2" s="51"/>
      <c r="F2" s="51"/>
      <c r="G2" s="51"/>
    </row>
    <row r="4" spans="1:7" ht="19.5" customHeight="1" x14ac:dyDescent="0.35">
      <c r="A4" s="4" t="s">
        <v>120</v>
      </c>
      <c r="B4" s="4"/>
      <c r="C4" s="4"/>
      <c r="D4" s="4"/>
      <c r="E4" s="4"/>
      <c r="F4" s="4"/>
      <c r="G4" s="4"/>
    </row>
    <row r="5" spans="1:7" ht="15" customHeight="1" x14ac:dyDescent="0.35">
      <c r="B5" s="14" t="s">
        <v>121</v>
      </c>
      <c r="C5" s="15">
        <f>Inputs!C13</f>
        <v>416730.34</v>
      </c>
    </row>
    <row r="6" spans="1:7" ht="15" customHeight="1" x14ac:dyDescent="0.35">
      <c r="B6" s="14" t="s">
        <v>122</v>
      </c>
      <c r="C6" s="15">
        <f>'Historical Financials'!G15</f>
        <v>4800</v>
      </c>
    </row>
    <row r="7" spans="1:7" ht="15" customHeight="1" x14ac:dyDescent="0.35">
      <c r="B7" s="14" t="s">
        <v>123</v>
      </c>
      <c r="C7" s="22">
        <f>C5/(C5+C6)</f>
        <v>0.98861291929781381</v>
      </c>
    </row>
    <row r="8" spans="1:7" ht="15" customHeight="1" x14ac:dyDescent="0.35">
      <c r="B8" s="14" t="s">
        <v>124</v>
      </c>
      <c r="C8" s="22">
        <f>C6/(C5+C6)</f>
        <v>1.1387080702186228E-2</v>
      </c>
    </row>
    <row r="9" spans="1:7" ht="15" customHeight="1" x14ac:dyDescent="0.35">
      <c r="B9" s="14" t="s">
        <v>125</v>
      </c>
      <c r="C9" s="29">
        <f>Inputs!C32</f>
        <v>0.1275</v>
      </c>
    </row>
    <row r="10" spans="1:7" ht="15" customHeight="1" x14ac:dyDescent="0.35">
      <c r="B10" s="14" t="s">
        <v>126</v>
      </c>
      <c r="C10" s="29">
        <f>Inputs!C34</f>
        <v>0.06</v>
      </c>
    </row>
    <row r="11" spans="1:7" ht="15" customHeight="1" x14ac:dyDescent="0.35">
      <c r="B11" s="16" t="s">
        <v>127</v>
      </c>
      <c r="C11" s="30">
        <f>C7*C9+C8*C10</f>
        <v>0.12673137205260243</v>
      </c>
    </row>
    <row r="13" spans="1:7" ht="30.5" customHeight="1" x14ac:dyDescent="0.35">
      <c r="B13" s="49" t="s">
        <v>128</v>
      </c>
      <c r="C13" s="49"/>
      <c r="D13" s="49"/>
      <c r="E13" s="49"/>
      <c r="F13" s="49"/>
      <c r="G13" s="49"/>
    </row>
    <row r="14" spans="1:7" x14ac:dyDescent="0.35">
      <c r="D14" s="58"/>
    </row>
    <row r="15" spans="1:7" ht="19.5" customHeight="1" x14ac:dyDescent="0.35">
      <c r="A15" s="4" t="s">
        <v>129</v>
      </c>
      <c r="B15" s="4"/>
      <c r="C15" s="4"/>
      <c r="D15" s="4"/>
      <c r="E15" s="4"/>
      <c r="F15" s="4"/>
      <c r="G15" s="4"/>
    </row>
    <row r="16" spans="1:7" ht="15" customHeight="1" x14ac:dyDescent="0.35">
      <c r="B16" s="11" t="s">
        <v>87</v>
      </c>
      <c r="C16" s="11" t="s">
        <v>31</v>
      </c>
      <c r="D16" s="11" t="s">
        <v>32</v>
      </c>
      <c r="E16" s="11" t="s">
        <v>33</v>
      </c>
      <c r="F16" s="11" t="s">
        <v>34</v>
      </c>
      <c r="G16" s="11" t="s">
        <v>35</v>
      </c>
    </row>
    <row r="17" spans="1:7" ht="15" customHeight="1" x14ac:dyDescent="0.35">
      <c r="B17" s="14" t="s">
        <v>130</v>
      </c>
      <c r="C17" s="12">
        <v>1</v>
      </c>
      <c r="D17" s="12">
        <v>2</v>
      </c>
      <c r="E17" s="12">
        <v>3</v>
      </c>
      <c r="F17" s="12">
        <v>4</v>
      </c>
      <c r="G17" s="12">
        <v>5</v>
      </c>
    </row>
    <row r="18" spans="1:7" ht="15" customHeight="1" x14ac:dyDescent="0.35">
      <c r="B18" s="16" t="s">
        <v>131</v>
      </c>
      <c r="C18" s="15">
        <f>Forecast!C14</f>
        <v>3657.8662874999995</v>
      </c>
      <c r="D18" s="15">
        <f>Forecast!D14</f>
        <v>4452.8111319999998</v>
      </c>
      <c r="E18" s="15">
        <f>Forecast!E14</f>
        <v>5290.0855108950018</v>
      </c>
      <c r="F18" s="15">
        <f>Forecast!F14</f>
        <v>6216.9423537455987</v>
      </c>
      <c r="G18" s="15">
        <f>Forecast!G14</f>
        <v>7149.0435093640899</v>
      </c>
    </row>
    <row r="19" spans="1:7" ht="15" customHeight="1" x14ac:dyDescent="0.35">
      <c r="B19" s="14" t="s">
        <v>132</v>
      </c>
      <c r="C19" s="31">
        <f>1/(1+$C$11)^C17</f>
        <v>0.88752299332738749</v>
      </c>
      <c r="D19" s="31">
        <f>1/(1+$C$11)^D17</f>
        <v>0.78769706368480596</v>
      </c>
      <c r="E19" s="31">
        <f>1/(1+$C$11)^E17</f>
        <v>0.69909925579673271</v>
      </c>
      <c r="F19" s="31">
        <f>1/(1+$C$11)^F17</f>
        <v>0.62046666413766516</v>
      </c>
      <c r="G19" s="31">
        <f>1/(1+$C$11)^G17</f>
        <v>0.55067843101531944</v>
      </c>
    </row>
    <row r="20" spans="1:7" ht="15" customHeight="1" x14ac:dyDescent="0.35">
      <c r="B20" s="16" t="s">
        <v>133</v>
      </c>
      <c r="C20" s="19">
        <f>C18*C19</f>
        <v>3246.4404366733379</v>
      </c>
      <c r="D20" s="19">
        <f>D18*D19</f>
        <v>3507.4662538194166</v>
      </c>
      <c r="E20" s="19">
        <f>E18*E19</f>
        <v>3698.2948437677742</v>
      </c>
      <c r="F20" s="19">
        <f>F18*F19</f>
        <v>3857.405483364696</v>
      </c>
      <c r="G20" s="19">
        <f>G18*G19</f>
        <v>3936.82406299687</v>
      </c>
    </row>
    <row r="22" spans="1:7" ht="15" customHeight="1" x14ac:dyDescent="0.35">
      <c r="B22" s="16" t="s">
        <v>134</v>
      </c>
      <c r="C22" s="32">
        <f>SUM(C20:G20)</f>
        <v>18246.431080622096</v>
      </c>
    </row>
    <row r="24" spans="1:7" ht="19.5" customHeight="1" x14ac:dyDescent="0.35">
      <c r="A24" s="4" t="s">
        <v>135</v>
      </c>
      <c r="B24" s="4"/>
      <c r="C24" s="4"/>
      <c r="D24" s="4"/>
      <c r="E24" s="4"/>
      <c r="F24" s="4"/>
      <c r="G24" s="4"/>
    </row>
    <row r="25" spans="1:7" ht="15" customHeight="1" x14ac:dyDescent="0.35">
      <c r="B25" s="14" t="s">
        <v>136</v>
      </c>
      <c r="C25" s="19">
        <f>G18</f>
        <v>7149.0435093640899</v>
      </c>
    </row>
    <row r="26" spans="1:7" ht="15" customHeight="1" x14ac:dyDescent="0.35">
      <c r="B26" s="14" t="s">
        <v>75</v>
      </c>
      <c r="C26" s="27">
        <f>Inputs!C39</f>
        <v>0.05</v>
      </c>
    </row>
    <row r="27" spans="1:7" ht="15" customHeight="1" x14ac:dyDescent="0.35">
      <c r="B27" s="16" t="s">
        <v>137</v>
      </c>
      <c r="C27" s="28">
        <f>C25*(1+C26)/(C11-C26)</f>
        <v>97828.247873455082</v>
      </c>
    </row>
    <row r="28" spans="1:7" ht="15" customHeight="1" x14ac:dyDescent="0.35">
      <c r="B28" s="14" t="s">
        <v>138</v>
      </c>
      <c r="C28" s="31">
        <f>G19</f>
        <v>0.55067843101531944</v>
      </c>
    </row>
    <row r="29" spans="1:7" ht="15" customHeight="1" x14ac:dyDescent="0.35">
      <c r="B29" s="16" t="s">
        <v>139</v>
      </c>
      <c r="C29" s="32">
        <f>C27*C28</f>
        <v>53871.906047932003</v>
      </c>
    </row>
    <row r="31" spans="1:7" ht="19.5" customHeight="1" x14ac:dyDescent="0.35">
      <c r="A31" s="4" t="s">
        <v>140</v>
      </c>
      <c r="B31" s="4"/>
      <c r="C31" s="4"/>
      <c r="D31" s="4"/>
      <c r="E31" s="4"/>
      <c r="F31" s="4"/>
      <c r="G31" s="4"/>
    </row>
    <row r="32" spans="1:7" ht="15" customHeight="1" x14ac:dyDescent="0.35">
      <c r="B32" s="16" t="s">
        <v>141</v>
      </c>
      <c r="C32" s="28">
        <f>C22+C29</f>
        <v>72118.337128554092</v>
      </c>
    </row>
    <row r="33" spans="2:7" ht="15" customHeight="1" x14ac:dyDescent="0.35">
      <c r="B33" s="14" t="s">
        <v>142</v>
      </c>
      <c r="C33" s="26">
        <f>C29/C32</f>
        <v>0.74699318083142952</v>
      </c>
    </row>
    <row r="34" spans="2:7" ht="15" customHeight="1" x14ac:dyDescent="0.35">
      <c r="B34" s="14" t="s">
        <v>143</v>
      </c>
      <c r="C34" s="15">
        <f>'Historical Financials'!G17</f>
        <v>2500</v>
      </c>
    </row>
    <row r="35" spans="2:7" ht="15" customHeight="1" x14ac:dyDescent="0.35">
      <c r="B35" s="16" t="s">
        <v>144</v>
      </c>
      <c r="C35" s="32">
        <f>C32-C34</f>
        <v>69618.337128554092</v>
      </c>
    </row>
    <row r="36" spans="2:7" ht="15" customHeight="1" x14ac:dyDescent="0.35">
      <c r="B36" s="14" t="s">
        <v>53</v>
      </c>
      <c r="C36" s="33">
        <f>Inputs!C12</f>
        <v>88.7</v>
      </c>
    </row>
    <row r="37" spans="2:7" ht="15" customHeight="1" x14ac:dyDescent="0.35">
      <c r="B37" s="16" t="s">
        <v>145</v>
      </c>
      <c r="C37" s="34">
        <f>C35/C36</f>
        <v>784.87415026554777</v>
      </c>
    </row>
    <row r="38" spans="2:7" ht="15" customHeight="1" x14ac:dyDescent="0.35">
      <c r="B38" s="14" t="s">
        <v>52</v>
      </c>
      <c r="C38" s="35">
        <f>Inputs!C11</f>
        <v>4698.2</v>
      </c>
    </row>
    <row r="39" spans="2:7" ht="15" customHeight="1" x14ac:dyDescent="0.35">
      <c r="B39" s="16" t="s">
        <v>146</v>
      </c>
      <c r="C39" s="36">
        <f>C37/C38-1</f>
        <v>-0.83294152010013456</v>
      </c>
    </row>
    <row r="41" spans="2:7" ht="41.5" customHeight="1" x14ac:dyDescent="0.35">
      <c r="B41" s="49" t="s">
        <v>147</v>
      </c>
      <c r="C41" s="49"/>
      <c r="D41" s="49"/>
      <c r="E41" s="49"/>
      <c r="F41" s="49"/>
      <c r="G41" s="49"/>
    </row>
  </sheetData>
  <mergeCells count="8">
    <mergeCell ref="A24:G24"/>
    <mergeCell ref="A31:G31"/>
    <mergeCell ref="B41:G41"/>
    <mergeCell ref="A1:G1"/>
    <mergeCell ref="A2:G2"/>
    <mergeCell ref="A4:G4"/>
    <mergeCell ref="B13:G13"/>
    <mergeCell ref="A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"/>
  <sheetViews>
    <sheetView showGridLines="0" topLeftCell="A14" zoomScaleNormal="100" workbookViewId="0">
      <selection activeCell="G12" sqref="G12"/>
    </sheetView>
  </sheetViews>
  <sheetFormatPr defaultColWidth="8.6328125" defaultRowHeight="14.5" x14ac:dyDescent="0.35"/>
  <cols>
    <col min="1" max="1" width="3" customWidth="1"/>
    <col min="2" max="2" width="28" customWidth="1"/>
    <col min="3" max="3" width="14" customWidth="1"/>
    <col min="4" max="4" width="20" customWidth="1"/>
    <col min="5" max="6" width="3" customWidth="1"/>
  </cols>
  <sheetData>
    <row r="1" spans="1:9" ht="30" customHeight="1" x14ac:dyDescent="0.35">
      <c r="A1" s="54" t="s">
        <v>148</v>
      </c>
      <c r="B1" s="54"/>
      <c r="C1" s="54"/>
      <c r="D1" s="54"/>
      <c r="E1" s="54"/>
      <c r="F1" s="54"/>
      <c r="G1" s="54"/>
      <c r="H1" s="55"/>
      <c r="I1" s="55"/>
    </row>
    <row r="2" spans="1:9" ht="15" customHeight="1" x14ac:dyDescent="0.35">
      <c r="A2" s="56" t="s">
        <v>149</v>
      </c>
      <c r="B2" s="56"/>
      <c r="C2" s="56"/>
      <c r="D2" s="56"/>
      <c r="E2" s="56"/>
      <c r="F2" s="56"/>
      <c r="G2" s="56"/>
    </row>
    <row r="4" spans="1:9" ht="15" customHeight="1" x14ac:dyDescent="0.35">
      <c r="B4" s="11" t="s">
        <v>150</v>
      </c>
      <c r="C4" s="11" t="s">
        <v>151</v>
      </c>
      <c r="D4" s="11" t="s">
        <v>152</v>
      </c>
    </row>
    <row r="5" spans="1:9" ht="15" customHeight="1" x14ac:dyDescent="0.35">
      <c r="B5" s="12" t="s">
        <v>153</v>
      </c>
      <c r="C5" s="37">
        <v>35</v>
      </c>
      <c r="D5" s="37">
        <v>18</v>
      </c>
    </row>
    <row r="6" spans="1:9" ht="15" customHeight="1" x14ac:dyDescent="0.35">
      <c r="B6" s="12" t="s">
        <v>154</v>
      </c>
      <c r="C6" s="37">
        <v>22</v>
      </c>
      <c r="D6" s="37">
        <v>14</v>
      </c>
    </row>
    <row r="7" spans="1:9" ht="15" customHeight="1" x14ac:dyDescent="0.35">
      <c r="B7" s="12" t="s">
        <v>155</v>
      </c>
      <c r="C7" s="37">
        <v>45</v>
      </c>
      <c r="D7" s="37">
        <v>28</v>
      </c>
    </row>
    <row r="8" spans="1:9" ht="15" customHeight="1" x14ac:dyDescent="0.35">
      <c r="B8" s="12" t="s">
        <v>156</v>
      </c>
      <c r="C8" s="37">
        <v>12</v>
      </c>
      <c r="D8" s="37">
        <v>8</v>
      </c>
    </row>
    <row r="9" spans="1:9" ht="15" customHeight="1" x14ac:dyDescent="0.35">
      <c r="B9" s="16" t="s">
        <v>157</v>
      </c>
      <c r="C9" s="38">
        <f>MEDIAN(C5:C8)</f>
        <v>28.5</v>
      </c>
      <c r="D9" s="38">
        <f>MEDIAN(D5:D8)</f>
        <v>16</v>
      </c>
    </row>
    <row r="11" spans="1:9" ht="54" customHeight="1" x14ac:dyDescent="0.35">
      <c r="B11" s="60" t="s">
        <v>158</v>
      </c>
      <c r="C11" s="60"/>
      <c r="D11" s="60"/>
      <c r="E11" s="59"/>
      <c r="F11" s="59"/>
      <c r="G11" s="59"/>
    </row>
    <row r="13" spans="1:9" ht="19.5" customHeight="1" x14ac:dyDescent="0.35">
      <c r="A13" s="4" t="s">
        <v>159</v>
      </c>
      <c r="B13" s="4"/>
      <c r="C13" s="4"/>
      <c r="D13" s="4"/>
    </row>
    <row r="14" spans="1:9" ht="15" customHeight="1" x14ac:dyDescent="0.35">
      <c r="B14" s="14" t="s">
        <v>160</v>
      </c>
      <c r="C14" s="35">
        <f>'Historical Financials'!G19</f>
        <v>37.621195039458847</v>
      </c>
    </row>
    <row r="15" spans="1:9" ht="15" customHeight="1" x14ac:dyDescent="0.35">
      <c r="B15" s="16" t="s">
        <v>161</v>
      </c>
      <c r="C15" s="34">
        <f>C14*C9</f>
        <v>1072.2040586245771</v>
      </c>
    </row>
    <row r="17" spans="2:4" ht="15" customHeight="1" x14ac:dyDescent="0.35">
      <c r="B17" s="14" t="s">
        <v>162</v>
      </c>
      <c r="C17" s="15">
        <f>'Historical Financials'!G12</f>
        <v>6551.4427999999998</v>
      </c>
    </row>
    <row r="18" spans="2:4" ht="15" customHeight="1" x14ac:dyDescent="0.35">
      <c r="B18" s="14" t="s">
        <v>163</v>
      </c>
      <c r="C18" s="19">
        <f>C17*D9</f>
        <v>104823.0848</v>
      </c>
    </row>
    <row r="19" spans="2:4" ht="15" customHeight="1" x14ac:dyDescent="0.35">
      <c r="B19" s="14" t="s">
        <v>143</v>
      </c>
      <c r="C19" s="15">
        <f>'Historical Financials'!G17</f>
        <v>2500</v>
      </c>
    </row>
    <row r="20" spans="2:4" ht="15" customHeight="1" x14ac:dyDescent="0.35">
      <c r="B20" s="14" t="s">
        <v>164</v>
      </c>
      <c r="C20" s="19">
        <f>C18-C19</f>
        <v>102323.0848</v>
      </c>
    </row>
    <row r="21" spans="2:4" ht="15" customHeight="1" x14ac:dyDescent="0.35">
      <c r="B21" s="14" t="s">
        <v>53</v>
      </c>
      <c r="C21" s="33">
        <f>Inputs!C12</f>
        <v>88.7</v>
      </c>
    </row>
    <row r="22" spans="2:4" ht="15" customHeight="1" x14ac:dyDescent="0.35">
      <c r="B22" s="16" t="s">
        <v>165</v>
      </c>
      <c r="C22" s="34">
        <f>C20/C21</f>
        <v>1153.5860744081172</v>
      </c>
    </row>
    <row r="24" spans="2:4" ht="15" customHeight="1" x14ac:dyDescent="0.35">
      <c r="B24" s="16" t="s">
        <v>166</v>
      </c>
      <c r="C24" s="34">
        <f>AVERAGE(C15,C22)</f>
        <v>1112.895066516347</v>
      </c>
    </row>
    <row r="26" spans="2:4" ht="42.5" customHeight="1" x14ac:dyDescent="0.35">
      <c r="B26" s="49" t="s">
        <v>167</v>
      </c>
      <c r="C26" s="49"/>
      <c r="D26" s="49"/>
    </row>
  </sheetData>
  <mergeCells count="5">
    <mergeCell ref="B11:D11"/>
    <mergeCell ref="A13:D13"/>
    <mergeCell ref="B26:D26"/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"/>
  <sheetViews>
    <sheetView showGridLines="0" tabSelected="1" zoomScaleNormal="100" workbookViewId="0">
      <selection activeCell="B15" sqref="B15:H15"/>
    </sheetView>
  </sheetViews>
  <sheetFormatPr defaultColWidth="8.6328125" defaultRowHeight="14.5" x14ac:dyDescent="0.35"/>
  <cols>
    <col min="1" max="1" width="3" customWidth="1"/>
    <col min="2" max="2" width="16" customWidth="1"/>
    <col min="3" max="7" width="13" customWidth="1"/>
    <col min="8" max="9" width="3" customWidth="1"/>
  </cols>
  <sheetData>
    <row r="1" spans="1:8" ht="30" customHeight="1" x14ac:dyDescent="0.35">
      <c r="A1" s="5" t="s">
        <v>168</v>
      </c>
      <c r="B1" s="5"/>
      <c r="C1" s="5"/>
      <c r="D1" s="5"/>
      <c r="E1" s="5"/>
      <c r="F1" s="5"/>
      <c r="G1" s="5"/>
      <c r="H1" s="5"/>
    </row>
    <row r="2" spans="1:8" ht="15" customHeight="1" x14ac:dyDescent="0.35">
      <c r="A2" s="51" t="s">
        <v>169</v>
      </c>
      <c r="B2" s="51"/>
      <c r="C2" s="51"/>
      <c r="D2" s="51"/>
      <c r="E2" s="51"/>
      <c r="F2" s="51"/>
      <c r="G2" s="51"/>
      <c r="H2" s="51"/>
    </row>
    <row r="4" spans="1:8" ht="15" customHeight="1" x14ac:dyDescent="0.35">
      <c r="B4" s="14" t="s">
        <v>170</v>
      </c>
      <c r="C4" s="29">
        <f>'DCF Valuation'!C11</f>
        <v>0.12673137205260243</v>
      </c>
    </row>
    <row r="5" spans="1:8" ht="15" customHeight="1" x14ac:dyDescent="0.35">
      <c r="B5" s="14" t="s">
        <v>171</v>
      </c>
      <c r="C5" s="27">
        <f>'DCF Valuation'!C26</f>
        <v>0.05</v>
      </c>
    </row>
    <row r="7" spans="1:8" ht="15" customHeight="1" x14ac:dyDescent="0.35">
      <c r="B7" s="39" t="s">
        <v>172</v>
      </c>
      <c r="C7" s="40">
        <f>$C$5+-0.01</f>
        <v>0.04</v>
      </c>
      <c r="D7" s="40">
        <f>$C$5+-0.005</f>
        <v>4.5000000000000005E-2</v>
      </c>
      <c r="E7" s="40">
        <f>$C$5+0</f>
        <v>0.05</v>
      </c>
      <c r="F7" s="40">
        <f>$C$5+0.005</f>
        <v>5.5E-2</v>
      </c>
      <c r="G7" s="40">
        <f>$C$5+0.01</f>
        <v>6.0000000000000005E-2</v>
      </c>
    </row>
    <row r="8" spans="1:8" ht="15" customHeight="1" x14ac:dyDescent="0.35">
      <c r="B8" s="41">
        <f>$C$4+-0.01</f>
        <v>0.11673137205260244</v>
      </c>
      <c r="C8" s="13">
        <f>('DCF Valuation'!C$18/(1+$B$8)^1+'DCF Valuation'!D$18/(1+$B$8)^2+'DCF Valuation'!E$18/(1+$B$8)^3+'DCF Valuation'!F$18/(1+$B$8)^4+'DCF Valuation'!G$18/(1+$B$8)^5+('DCF Valuation'!G$18*(1+C$7)/($B$8-C$7))/(1+$B$8)^5-'DCF Valuation'!$C$34)/'DCF Valuation'!$C$36</f>
        <v>812.28189681941217</v>
      </c>
      <c r="D8" s="13">
        <f>('DCF Valuation'!C$18/(1+$B$8)^1+'DCF Valuation'!D$18/(1+$B$8)^2+'DCF Valuation'!E$18/(1+$B$8)^3+'DCF Valuation'!F$18/(1+$B$8)^4+'DCF Valuation'!G$18/(1+$B$8)^5+('DCF Valuation'!G$18*(1+D$7)/($B$8-D$7))/(1+$B$8)^5-'DCF Valuation'!$C$34)/'DCF Valuation'!$C$36</f>
        <v>859.35982645219417</v>
      </c>
      <c r="E8" s="13">
        <f>('DCF Valuation'!C$18/(1+$B$8)^1+'DCF Valuation'!D$18/(1+$B$8)^2+'DCF Valuation'!E$18/(1+$B$8)^3+'DCF Valuation'!F$18/(1+$B$8)^4+'DCF Valuation'!G$18/(1+$B$8)^5+('DCF Valuation'!G$18*(1+E$7)/($B$8-E$7))/(1+$B$8)^5-'DCF Valuation'!$C$34)/'DCF Valuation'!$C$36</f>
        <v>913.49259823563273</v>
      </c>
      <c r="F8" s="13">
        <f>('DCF Valuation'!C$18/(1+$B$8)^1+'DCF Valuation'!D$18/(1+$B$8)^2+'DCF Valuation'!E$18/(1+$B$8)^3+'DCF Valuation'!F$18/(1+$B$8)^4+'DCF Valuation'!G$18/(1+$B$8)^5+('DCF Valuation'!G$18*(1+F$7)/($B$8-F$7))/(1+$B$8)^5-'DCF Valuation'!$C$34)/'DCF Valuation'!$C$36</f>
        <v>976.39445613906037</v>
      </c>
      <c r="G8" s="13">
        <f>('DCF Valuation'!C$18/(1+$B$8)^1+'DCF Valuation'!D$18/(1+$B$8)^2+'DCF Valuation'!E$18/(1+$B$8)^3+'DCF Valuation'!F$18/(1+$B$8)^4+'DCF Valuation'!G$18/(1+$B$8)^5+('DCF Valuation'!G$18*(1+G$7)/($B$8-G$7))/(1+$B$8)^5-'DCF Valuation'!$C$34)/'DCF Valuation'!$C$36</f>
        <v>1050.383981346763</v>
      </c>
    </row>
    <row r="9" spans="1:8" ht="15" customHeight="1" x14ac:dyDescent="0.35">
      <c r="B9" s="41">
        <f>$C$4+-0.005</f>
        <v>0.12173137205260243</v>
      </c>
      <c r="C9" s="13">
        <f>('DCF Valuation'!C$18/(1+$B$9)^1+'DCF Valuation'!D$18/(1+$B$9)^2+'DCF Valuation'!E$18/(1+$B$9)^3+'DCF Valuation'!F$18/(1+$B$9)^4+'DCF Valuation'!G$18/(1+$B$9)^5+('DCF Valuation'!G$18*(1+C$7)/($B$9-C$7))/(1+$B$9)^5-'DCF Valuation'!$C$34)/'DCF Valuation'!$C$36</f>
        <v>757.84317940690767</v>
      </c>
      <c r="D9" s="13">
        <f>('DCF Valuation'!C$18/(1+$B$9)^1+'DCF Valuation'!D$18/(1+$B$9)^2+'DCF Valuation'!E$18/(1+$B$9)^3+'DCF Valuation'!F$18/(1+$B$9)^4+'DCF Valuation'!G$18/(1+$B$9)^5+('DCF Valuation'!G$18*(1+D$7)/($B$9-D$7))/(1+$B$9)^5-'DCF Valuation'!$C$34)/'DCF Valuation'!$C$36</f>
        <v>798.42925933760341</v>
      </c>
      <c r="E9" s="13">
        <f>('DCF Valuation'!C$18/(1+$B$9)^1+'DCF Valuation'!D$18/(1+$B$9)^2+'DCF Valuation'!E$18/(1+$B$9)^3+'DCF Valuation'!F$18/(1+$B$9)^4+'DCF Valuation'!G$18/(1+$B$9)^5+('DCF Valuation'!G$18*(1+E$7)/($B$9-E$7))/(1+$B$9)^5-'DCF Valuation'!$C$34)/'DCF Valuation'!$C$36</f>
        <v>844.67340473802608</v>
      </c>
      <c r="F9" s="13">
        <f>('DCF Valuation'!C$18/(1+$B$9)^1+'DCF Valuation'!D$18/(1+$B$9)^2+'DCF Valuation'!E$18/(1+$B$9)^3+'DCF Valuation'!F$18/(1+$B$9)^4+'DCF Valuation'!G$18/(1+$B$9)^5+('DCF Valuation'!G$18*(1+F$7)/($B$9-F$7))/(1+$B$9)^5-'DCF Valuation'!$C$34)/'DCF Valuation'!$C$36</f>
        <v>897.84744592479183</v>
      </c>
      <c r="G9" s="13">
        <f>('DCF Valuation'!C$18/(1+$B$9)^1+'DCF Valuation'!D$18/(1+$B$9)^2+'DCF Valuation'!E$18/(1+$B$9)^3+'DCF Valuation'!F$18/(1+$B$9)^4+'DCF Valuation'!G$18/(1+$B$9)^5+('DCF Valuation'!G$18*(1+G$7)/($B$9-G$7))/(1+$B$9)^5-'DCF Valuation'!$C$34)/'DCF Valuation'!$C$36</f>
        <v>959.63526636490974</v>
      </c>
    </row>
    <row r="10" spans="1:8" ht="15" customHeight="1" x14ac:dyDescent="0.35">
      <c r="B10" s="41">
        <f>$C$4+0</f>
        <v>0.12673137205260243</v>
      </c>
      <c r="C10" s="13">
        <f>('DCF Valuation'!C$18/(1+$B$10)^1+'DCF Valuation'!D$18/(1+$B$10)^2+'DCF Valuation'!E$18/(1+$B$10)^3+'DCF Valuation'!F$18/(1+$B$10)^4+'DCF Valuation'!G$18/(1+$B$10)^5+('DCF Valuation'!G$18*(1+C$7)/($B$10-C$7))/(1+$B$10)^5-'DCF Valuation'!$C$34)/'DCF Valuation'!$C$36</f>
        <v>709.73027426536441</v>
      </c>
      <c r="D10" s="13">
        <f>('DCF Valuation'!C$18/(1+$B$10)^1+'DCF Valuation'!D$18/(1+$B$10)^2+'DCF Valuation'!E$18/(1+$B$10)^3+'DCF Valuation'!F$18/(1+$B$10)^4+'DCF Valuation'!G$18/(1+$B$10)^5+('DCF Valuation'!G$18*(1+D$7)/($B$10-D$7))/(1+$B$10)^5-'DCF Valuation'!$C$34)/'DCF Valuation'!$C$36</f>
        <v>745.00371065851436</v>
      </c>
      <c r="E10" s="34">
        <f>('DCF Valuation'!C$18/(1+$B$10)^1+'DCF Valuation'!D$18/(1+$B$10)^2+'DCF Valuation'!E$18/(1+$B$10)^3+'DCF Valuation'!F$18/(1+$B$10)^4+'DCF Valuation'!G$18/(1+$B$10)^5+('DCF Valuation'!G$18*(1+E$7)/($B$10-E$7))/(1+$B$10)^5-'DCF Valuation'!$C$34)/'DCF Valuation'!$C$36</f>
        <v>784.87415026554777</v>
      </c>
      <c r="F10" s="13">
        <f>('DCF Valuation'!C$18/(1+$B$10)^1+'DCF Valuation'!D$18/(1+$B$10)^2+'DCF Valuation'!E$18/(1+$B$10)^3+'DCF Valuation'!F$18/(1+$B$10)^4+'DCF Valuation'!G$18/(1+$B$10)^5+('DCF Valuation'!G$18*(1+F$7)/($B$10-F$7))/(1+$B$10)^5-'DCF Valuation'!$C$34)/'DCF Valuation'!$C$36</f>
        <v>830.30288862891837</v>
      </c>
      <c r="G10" s="13">
        <f>('DCF Valuation'!C$18/(1+$B$10)^1+'DCF Valuation'!D$18/(1+$B$10)^2+'DCF Valuation'!E$18/(1+$B$10)^3+'DCF Valuation'!F$18/(1+$B$10)^4+'DCF Valuation'!G$18/(1+$B$10)^5+('DCF Valuation'!G$18*(1+G$7)/($B$10-G$7))/(1+$B$10)^5-'DCF Valuation'!$C$34)/'DCF Valuation'!$C$36</f>
        <v>882.53933032072678</v>
      </c>
    </row>
    <row r="11" spans="1:8" ht="15" customHeight="1" x14ac:dyDescent="0.35">
      <c r="B11" s="41">
        <f>$C$4+0.005</f>
        <v>0.13173137205260244</v>
      </c>
      <c r="C11" s="13">
        <f>('DCF Valuation'!C$18/(1+$B$11)^1+'DCF Valuation'!D$18/(1+$B$11)^2+'DCF Valuation'!E$18/(1+$B$11)^3+'DCF Valuation'!F$18/(1+$B$11)^4+'DCF Valuation'!G$18/(1+$B$11)^5+('DCF Valuation'!G$18*(1+C$7)/($B$11-C$7))/(1+$B$11)^5-'DCF Valuation'!$C$34)/'DCF Valuation'!$C$36</f>
        <v>666.90772413916454</v>
      </c>
      <c r="D11" s="13">
        <f>('DCF Valuation'!C$18/(1+$B$11)^1+'DCF Valuation'!D$18/(1+$B$11)^2+'DCF Valuation'!E$18/(1+$B$11)^3+'DCF Valuation'!F$18/(1+$B$11)^4+'DCF Valuation'!G$18/(1+$B$11)^5+('DCF Valuation'!G$18*(1+D$7)/($B$11-D$7))/(1+$B$11)^5-'DCF Valuation'!$C$34)/'DCF Valuation'!$C$36</f>
        <v>697.78413412612031</v>
      </c>
      <c r="E11" s="13">
        <f>('DCF Valuation'!C$18/(1+$B$11)^1+'DCF Valuation'!D$18/(1+$B$11)^2+'DCF Valuation'!E$18/(1+$B$11)^3+'DCF Valuation'!F$18/(1+$B$11)^4+'DCF Valuation'!G$18/(1+$B$11)^5+('DCF Valuation'!G$18*(1+E$7)/($B$11-E$7))/(1+$B$11)^5-'DCF Valuation'!$C$34)/'DCF Valuation'!$C$36</f>
        <v>732.4383358240832</v>
      </c>
      <c r="F11" s="13">
        <f>('DCF Valuation'!C$18/(1+$B$11)^1+'DCF Valuation'!D$18/(1+$B$11)^2+'DCF Valuation'!E$18/(1+$B$11)^3+'DCF Valuation'!F$18/(1+$B$11)^4+'DCF Valuation'!G$18/(1+$B$11)^5+('DCF Valuation'!G$18*(1+F$7)/($B$11-F$7))/(1+$B$11)^5-'DCF Valuation'!$C$34)/'DCF Valuation'!$C$36</f>
        <v>771.60883910390839</v>
      </c>
      <c r="G11" s="13">
        <f>('DCF Valuation'!C$18/(1+$B$11)^1+'DCF Valuation'!D$18/(1+$B$11)^2+'DCF Valuation'!E$18/(1+$B$11)^3+'DCF Valuation'!F$18/(1+$B$11)^4+'DCF Valuation'!G$18/(1+$B$11)^5+('DCF Valuation'!G$18*(1+G$7)/($B$11-G$7))/(1+$B$11)^5-'DCF Valuation'!$C$34)/'DCF Valuation'!$C$36</f>
        <v>816.24006370537506</v>
      </c>
    </row>
    <row r="12" spans="1:8" ht="15" customHeight="1" x14ac:dyDescent="0.35">
      <c r="B12" s="41">
        <f>$C$4+0.01</f>
        <v>0.13673137205260244</v>
      </c>
      <c r="C12" s="13">
        <f>('DCF Valuation'!C$18/(1+$B$12)^1+'DCF Valuation'!D$18/(1+$B$12)^2+'DCF Valuation'!E$18/(1+$B$12)^3+'DCF Valuation'!F$18/(1+$B$12)^4+'DCF Valuation'!G$18/(1+$B$12)^5+('DCF Valuation'!G$18*(1+C$7)/($B$12-C$7))/(1+$B$12)^5-'DCF Valuation'!$C$34)/'DCF Valuation'!$C$36</f>
        <v>628.55418868533468</v>
      </c>
      <c r="D12" s="13">
        <f>('DCF Valuation'!C$18/(1+$B$12)^1+'DCF Valuation'!D$18/(1+$B$12)^2+'DCF Valuation'!E$18/(1+$B$12)^3+'DCF Valuation'!F$18/(1+$B$12)^4+'DCF Valuation'!G$18/(1+$B$12)^5+('DCF Valuation'!G$18*(1+D$7)/($B$12-D$7))/(1+$B$12)^5-'DCF Valuation'!$C$34)/'DCF Valuation'!$C$36</f>
        <v>655.75473978977482</v>
      </c>
      <c r="E12" s="13">
        <f>('DCF Valuation'!C$18/(1+$B$12)^1+'DCF Valuation'!D$18/(1+$B$12)^2+'DCF Valuation'!E$18/(1+$B$12)^3+'DCF Valuation'!F$18/(1+$B$12)^4+'DCF Valuation'!G$18/(1+$B$12)^5+('DCF Valuation'!G$18*(1+E$7)/($B$12-E$7))/(1+$B$12)^5-'DCF Valuation'!$C$34)/'DCF Valuation'!$C$36</f>
        <v>686.09147454503295</v>
      </c>
      <c r="F12" s="13">
        <f>('DCF Valuation'!C$18/(1+$B$12)^1+'DCF Valuation'!D$18/(1+$B$12)^2+'DCF Valuation'!E$18/(1+$B$12)^3+'DCF Valuation'!F$18/(1+$B$12)^4+'DCF Valuation'!G$18/(1+$B$12)^5+('DCF Valuation'!G$18*(1+F$7)/($B$12-F$7))/(1+$B$12)^5-'DCF Valuation'!$C$34)/'DCF Valuation'!$C$36</f>
        <v>720.13997064644047</v>
      </c>
      <c r="G12" s="13">
        <f>('DCF Valuation'!C$18/(1+$B$12)^1+'DCF Valuation'!D$18/(1+$B$12)^2+'DCF Valuation'!E$18/(1+$B$12)^3+'DCF Valuation'!F$18/(1+$B$12)^4+'DCF Valuation'!G$18/(1+$B$12)^5+('DCF Valuation'!G$18*(1+G$7)/($B$12-G$7))/(1+$B$12)^5-'DCF Valuation'!$C$34)/'DCF Valuation'!$C$36</f>
        <v>758.62582987463611</v>
      </c>
    </row>
    <row r="14" spans="1:8" ht="53.5" customHeight="1" x14ac:dyDescent="0.35">
      <c r="B14" s="49" t="s">
        <v>173</v>
      </c>
      <c r="C14" s="49"/>
      <c r="D14" s="49"/>
      <c r="E14" s="49"/>
      <c r="F14" s="49"/>
      <c r="G14" s="49"/>
      <c r="H14" s="49"/>
    </row>
    <row r="15" spans="1:8" ht="21" customHeight="1" x14ac:dyDescent="0.35">
      <c r="B15" s="57" t="s">
        <v>174</v>
      </c>
      <c r="C15" s="57"/>
      <c r="D15" s="57"/>
      <c r="E15" s="57"/>
      <c r="F15" s="57"/>
      <c r="G15" s="57"/>
      <c r="H15" s="57"/>
    </row>
  </sheetData>
  <mergeCells count="4">
    <mergeCell ref="A1:H1"/>
    <mergeCell ref="A2:H2"/>
    <mergeCell ref="B14:H14"/>
    <mergeCell ref="B15:H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Inputs</vt:lpstr>
      <vt:lpstr>Historical Financials</vt:lpstr>
      <vt:lpstr>Forecast</vt:lpstr>
      <vt:lpstr>DCF Valuation</vt:lpstr>
      <vt:lpstr>Comparable Companies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Abhash Maheshwari</cp:lastModifiedBy>
  <cp:revision>2</cp:revision>
  <dcterms:created xsi:type="dcterms:W3CDTF">2026-07-27T07:13:03Z</dcterms:created>
  <dcterms:modified xsi:type="dcterms:W3CDTF">2026-07-27T08:01:21Z</dcterms:modified>
  <dc:language>en-US</dc:language>
</cp:coreProperties>
</file>